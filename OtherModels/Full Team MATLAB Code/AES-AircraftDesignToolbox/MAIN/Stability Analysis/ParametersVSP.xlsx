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morris/Documents/GitHub/AircraftDesignToolbox/MAIN/Stability Analysis/"/>
    </mc:Choice>
  </mc:AlternateContent>
  <xr:revisionPtr revIDLastSave="0" documentId="13_ncr:1_{0DC2677F-0E6E-AE4C-9B90-4DE12004DD43}" xr6:coauthVersionLast="47" xr6:coauthVersionMax="47" xr10:uidLastSave="{00000000-0000-0000-0000-000000000000}"/>
  <bookViews>
    <workbookView xWindow="1700" yWindow="500" windowWidth="31780" windowHeight="19140" xr2:uid="{70D7923B-EA62-B447-8C19-0A41D65F3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6" i="1"/>
</calcChain>
</file>

<file path=xl/sharedStrings.xml><?xml version="1.0" encoding="utf-8"?>
<sst xmlns="http://schemas.openxmlformats.org/spreadsheetml/2006/main" count="118" uniqueCount="88">
  <si>
    <t>Parameter</t>
  </si>
  <si>
    <t>Description</t>
  </si>
  <si>
    <t>Value</t>
  </si>
  <si>
    <t>mass</t>
  </si>
  <si>
    <t>Aircraft Mass (kg or slugs)</t>
  </si>
  <si>
    <t>S</t>
  </si>
  <si>
    <t>Wing Reference Area</t>
  </si>
  <si>
    <t>c_bar</t>
  </si>
  <si>
    <t>Mean Aerodynamic Chord</t>
  </si>
  <si>
    <t>b</t>
  </si>
  <si>
    <t>Wingspan</t>
  </si>
  <si>
    <t>Ixx</t>
  </si>
  <si>
    <t>Roll Moment of Inertia</t>
  </si>
  <si>
    <t>Iyy</t>
  </si>
  <si>
    <t>Pitch Moment of Inertia</t>
  </si>
  <si>
    <t>Izz</t>
  </si>
  <si>
    <t>Yaw Moment of Inertia</t>
  </si>
  <si>
    <t>Ixz</t>
  </si>
  <si>
    <t>Product of Inertia</t>
  </si>
  <si>
    <t>CFx0</t>
  </si>
  <si>
    <t>CFz0</t>
  </si>
  <si>
    <t>CFx_u</t>
  </si>
  <si>
    <t>X-Force wrt Velocity</t>
  </si>
  <si>
    <t>CFz_u</t>
  </si>
  <si>
    <t>Z-Force wrt Velocity</t>
  </si>
  <si>
    <t>CMy_u</t>
  </si>
  <si>
    <t>Pitch Moment wrt Velocity</t>
  </si>
  <si>
    <t>CFx_a</t>
  </si>
  <si>
    <t>X-Force wrt Alpha</t>
  </si>
  <si>
    <t>CFz_a</t>
  </si>
  <si>
    <t>Z-Force wrt Alpha</t>
  </si>
  <si>
    <t>CMy_a</t>
  </si>
  <si>
    <t>Pitch Moment wrt Alpha</t>
  </si>
  <si>
    <t>CFx_q</t>
  </si>
  <si>
    <t>X-Force wrt Pitch Rate</t>
  </si>
  <si>
    <t>CFz_q</t>
  </si>
  <si>
    <t>Z-Force wrt Pitch Rate</t>
  </si>
  <si>
    <t>CMy_q</t>
  </si>
  <si>
    <t>Pitch Moment wrt Pitch Rate</t>
  </si>
  <si>
    <t>CMy_adot</t>
  </si>
  <si>
    <t>CFx_de</t>
  </si>
  <si>
    <t>X-Force wrt Elevator</t>
  </si>
  <si>
    <t>CFz_de</t>
  </si>
  <si>
    <t>Z-Force wrt Elevator</t>
  </si>
  <si>
    <t>CMy_de</t>
  </si>
  <si>
    <t>Pitch Moment wrt Elevator</t>
  </si>
  <si>
    <t>CFy_b</t>
  </si>
  <si>
    <t>Side-force wrt Beta (Sideslip)</t>
  </si>
  <si>
    <t>CMx_b</t>
  </si>
  <si>
    <t>Roll Moment wrt Beta</t>
  </si>
  <si>
    <t>CMz_b</t>
  </si>
  <si>
    <t>Yaw Moment wrt Beta</t>
  </si>
  <si>
    <t>CFy_p</t>
  </si>
  <si>
    <t>Side-force wrt Roll Rate</t>
  </si>
  <si>
    <t>CMx_p</t>
  </si>
  <si>
    <t>Roll Moment wrt Roll Rate</t>
  </si>
  <si>
    <t>CMz_p</t>
  </si>
  <si>
    <t>Yaw Moment wrt Roll Rate</t>
  </si>
  <si>
    <t>CFy_r</t>
  </si>
  <si>
    <t>Side-force wrt Yaw Rate</t>
  </si>
  <si>
    <t>CMx_r</t>
  </si>
  <si>
    <t>Roll Moment wrt Yaw Rate</t>
  </si>
  <si>
    <t>CMz_r</t>
  </si>
  <si>
    <t>Yaw Moment wrt Yaw Rate</t>
  </si>
  <si>
    <t>CFy_da</t>
  </si>
  <si>
    <t>Side-force wrt Aileron</t>
  </si>
  <si>
    <t>CMx_da</t>
  </si>
  <si>
    <t>Roll Moment wrt Aileron</t>
  </si>
  <si>
    <t>CMz_da</t>
  </si>
  <si>
    <t>Yaw Moment wrt Aileron</t>
  </si>
  <si>
    <t>CFy_dr</t>
  </si>
  <si>
    <t>Side-force wrt Rudder</t>
  </si>
  <si>
    <t>CMx_dr</t>
  </si>
  <si>
    <t>Roll Moment wrt Rudder</t>
  </si>
  <si>
    <t>CMz_dr</t>
  </si>
  <si>
    <t>Yaw Moment wrt Rudder</t>
  </si>
  <si>
    <t>UNITS</t>
  </si>
  <si>
    <t>kg</t>
  </si>
  <si>
    <t>m^2</t>
  </si>
  <si>
    <t>m</t>
  </si>
  <si>
    <t>kg*m^2</t>
  </si>
  <si>
    <t>TOTAL X-Force Coefficient at Trim</t>
  </si>
  <si>
    <t>TOTAL Z-Force Coefficient at Trim</t>
  </si>
  <si>
    <t>unitless</t>
  </si>
  <si>
    <t>per u</t>
  </si>
  <si>
    <t>per rad</t>
  </si>
  <si>
    <t>ignored</t>
  </si>
  <si>
    <t>Pitch Moment wrt Alpha-dot. Ignored in VSP steady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</si>
</sst>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0125-410E-F140-9DAB-500D1930F0C1}">
  <dimension ref="A1:E77"/>
  <sheetViews>
    <sheetView tabSelected="1" topLeftCell="A3" zoomScale="171" zoomScaleNormal="86" workbookViewId="0">
      <selection activeCell="E10" sqref="E10"/>
    </sheetView>
  </sheetViews>
  <sheetFormatPr baseColWidth="10" defaultRowHeight="16" x14ac:dyDescent="0.2"/>
  <cols>
    <col min="1" max="1" width="18.33203125" customWidth="1"/>
    <col min="2" max="3" width="29.6640625" customWidth="1"/>
    <col min="4" max="4" width="43" customWidth="1"/>
    <col min="5" max="5" width="33.1640625" customWidth="1"/>
  </cols>
  <sheetData>
    <row r="1" spans="1:5" x14ac:dyDescent="0.2">
      <c r="A1" s="1" t="s">
        <v>0</v>
      </c>
      <c r="B1" s="1" t="s">
        <v>2</v>
      </c>
      <c r="C1" s="1" t="s">
        <v>76</v>
      </c>
      <c r="D1" s="1" t="s">
        <v>1</v>
      </c>
      <c r="E1" s="1"/>
    </row>
    <row r="2" spans="1:5" x14ac:dyDescent="0.2">
      <c r="A2" s="1" t="s">
        <v>3</v>
      </c>
      <c r="B2" s="2">
        <v>264500</v>
      </c>
      <c r="C2" s="2" t="s">
        <v>77</v>
      </c>
      <c r="D2" s="2" t="s">
        <v>4</v>
      </c>
      <c r="E2" s="2"/>
    </row>
    <row r="3" spans="1:5" x14ac:dyDescent="0.2">
      <c r="A3" s="1" t="s">
        <v>5</v>
      </c>
      <c r="B3" s="2">
        <v>511</v>
      </c>
      <c r="C3" s="2" t="s">
        <v>78</v>
      </c>
      <c r="D3" s="2" t="s">
        <v>6</v>
      </c>
      <c r="E3" s="2"/>
    </row>
    <row r="4" spans="1:5" x14ac:dyDescent="0.2">
      <c r="A4" s="1" t="s">
        <v>7</v>
      </c>
      <c r="B4" s="2">
        <v>8.32</v>
      </c>
      <c r="C4" s="2" t="s">
        <v>79</v>
      </c>
      <c r="D4" s="2" t="s">
        <v>8</v>
      </c>
      <c r="E4" s="2"/>
    </row>
    <row r="5" spans="1:5" x14ac:dyDescent="0.2">
      <c r="A5" s="1" t="s">
        <v>9</v>
      </c>
      <c r="B5" s="2">
        <v>59.6</v>
      </c>
      <c r="C5" s="2" t="s">
        <v>79</v>
      </c>
      <c r="D5" s="2" t="s">
        <v>10</v>
      </c>
      <c r="E5" s="2"/>
    </row>
    <row r="6" spans="1:5" x14ac:dyDescent="0.2">
      <c r="A6" s="1" t="s">
        <v>11</v>
      </c>
      <c r="B6">
        <f>24.68*10^6</f>
        <v>24680000</v>
      </c>
      <c r="C6" t="s">
        <v>80</v>
      </c>
      <c r="D6" s="2" t="s">
        <v>12</v>
      </c>
      <c r="E6" s="2"/>
    </row>
    <row r="7" spans="1:5" x14ac:dyDescent="0.2">
      <c r="A7" s="1" t="s">
        <v>13</v>
      </c>
      <c r="B7">
        <v>41000000</v>
      </c>
      <c r="C7" t="s">
        <v>80</v>
      </c>
      <c r="D7" s="2" t="s">
        <v>14</v>
      </c>
      <c r="E7" s="2"/>
    </row>
    <row r="8" spans="1:5" x14ac:dyDescent="0.2">
      <c r="A8" s="1" t="s">
        <v>15</v>
      </c>
      <c r="B8">
        <f>67.38*10^6</f>
        <v>67380000</v>
      </c>
      <c r="C8" t="s">
        <v>80</v>
      </c>
      <c r="D8" s="2" t="s">
        <v>16</v>
      </c>
      <c r="E8" s="2"/>
    </row>
    <row r="9" spans="1:5" x14ac:dyDescent="0.2">
      <c r="A9" s="1" t="s">
        <v>17</v>
      </c>
      <c r="B9">
        <f>-2.12*10^6</f>
        <v>-2120000</v>
      </c>
      <c r="C9" t="s">
        <v>80</v>
      </c>
      <c r="D9" s="2" t="s">
        <v>18</v>
      </c>
      <c r="E9" s="2"/>
    </row>
    <row r="10" spans="1:5" x14ac:dyDescent="0.2">
      <c r="A10" s="1" t="s">
        <v>19</v>
      </c>
      <c r="B10" s="2">
        <v>0.05</v>
      </c>
      <c r="C10" s="2" t="s">
        <v>83</v>
      </c>
      <c r="D10" s="2" t="s">
        <v>81</v>
      </c>
      <c r="E10" s="2"/>
    </row>
    <row r="11" spans="1:5" x14ac:dyDescent="0.2">
      <c r="A11" s="1" t="s">
        <v>20</v>
      </c>
      <c r="B11" s="2">
        <v>0.61614170000000001</v>
      </c>
      <c r="C11" s="2" t="s">
        <v>83</v>
      </c>
      <c r="D11" s="2" t="s">
        <v>82</v>
      </c>
      <c r="E11" s="2"/>
    </row>
    <row r="12" spans="1:5" x14ac:dyDescent="0.2">
      <c r="A12" s="1" t="s">
        <v>21</v>
      </c>
      <c r="B12" s="2">
        <v>1.1093799999999999E-2</v>
      </c>
      <c r="C12" s="2" t="s">
        <v>83</v>
      </c>
      <c r="D12" s="2" t="s">
        <v>22</v>
      </c>
      <c r="E12" s="2"/>
    </row>
    <row r="13" spans="1:5" x14ac:dyDescent="0.2">
      <c r="A13" s="1" t="s">
        <v>23</v>
      </c>
      <c r="B13" s="2">
        <v>0.5998175</v>
      </c>
      <c r="C13" s="2" t="s">
        <v>83</v>
      </c>
      <c r="D13" s="2" t="s">
        <v>24</v>
      </c>
      <c r="E13" s="2"/>
    </row>
    <row r="14" spans="1:5" x14ac:dyDescent="0.2">
      <c r="A14" s="1" t="s">
        <v>25</v>
      </c>
      <c r="B14" s="2">
        <v>-4.5614300000000003E-2</v>
      </c>
      <c r="C14" s="2" t="s">
        <v>84</v>
      </c>
      <c r="D14" s="2" t="s">
        <v>26</v>
      </c>
      <c r="E14" s="2"/>
    </row>
    <row r="15" spans="1:5" x14ac:dyDescent="0.2">
      <c r="A15" s="1" t="s">
        <v>27</v>
      </c>
      <c r="B15" s="2">
        <v>-0.48971609999999999</v>
      </c>
      <c r="C15" s="2" t="s">
        <v>85</v>
      </c>
      <c r="D15" s="2" t="s">
        <v>28</v>
      </c>
      <c r="E15" s="2"/>
    </row>
    <row r="16" spans="1:5" x14ac:dyDescent="0.2">
      <c r="A16" s="1" t="s">
        <v>29</v>
      </c>
      <c r="B16" s="2">
        <v>5.7312798999999996</v>
      </c>
      <c r="C16" s="2" t="s">
        <v>85</v>
      </c>
      <c r="D16" s="2" t="s">
        <v>30</v>
      </c>
      <c r="E16" s="2"/>
    </row>
    <row r="17" spans="1:5" x14ac:dyDescent="0.2">
      <c r="A17" s="1" t="s">
        <v>31</v>
      </c>
      <c r="B17" s="2">
        <v>-0.77879500000000002</v>
      </c>
      <c r="C17" s="2" t="s">
        <v>85</v>
      </c>
      <c r="D17" s="2" t="s">
        <v>32</v>
      </c>
      <c r="E17" s="2"/>
    </row>
    <row r="18" spans="1:5" x14ac:dyDescent="0.2">
      <c r="A18" s="1" t="s">
        <v>33</v>
      </c>
      <c r="B18" s="2">
        <v>-0.52361979999999997</v>
      </c>
      <c r="C18" s="2" t="s">
        <v>85</v>
      </c>
      <c r="D18" s="2" t="s">
        <v>34</v>
      </c>
    </row>
    <row r="19" spans="1:5" x14ac:dyDescent="0.2">
      <c r="A19" s="1" t="s">
        <v>35</v>
      </c>
      <c r="B19" s="2">
        <v>11.3328477</v>
      </c>
      <c r="C19" s="2" t="s">
        <v>85</v>
      </c>
      <c r="D19" s="2" t="s">
        <v>36</v>
      </c>
      <c r="E19" s="2"/>
    </row>
    <row r="20" spans="1:5" x14ac:dyDescent="0.2">
      <c r="A20" s="1" t="s">
        <v>37</v>
      </c>
      <c r="B20" s="2">
        <v>-30.602299200000001</v>
      </c>
      <c r="C20" s="2" t="s">
        <v>85</v>
      </c>
      <c r="D20" s="2" t="s">
        <v>38</v>
      </c>
      <c r="E20" s="2"/>
    </row>
    <row r="21" spans="1:5" x14ac:dyDescent="0.2">
      <c r="A21" s="1" t="s">
        <v>39</v>
      </c>
      <c r="B21" s="2">
        <v>0</v>
      </c>
      <c r="C21" s="2" t="s">
        <v>86</v>
      </c>
      <c r="D21" s="2" t="s">
        <v>87</v>
      </c>
      <c r="E21" s="2"/>
    </row>
    <row r="22" spans="1:5" x14ac:dyDescent="0.2">
      <c r="A22" s="1" t="s">
        <v>40</v>
      </c>
      <c r="B22" s="2">
        <v>8.4416000000000005E-3</v>
      </c>
      <c r="C22" s="2" t="s">
        <v>85</v>
      </c>
      <c r="D22" s="2" t="s">
        <v>41</v>
      </c>
      <c r="E22" s="2"/>
    </row>
    <row r="23" spans="1:5" x14ac:dyDescent="0.2">
      <c r="A23" s="1" t="s">
        <v>42</v>
      </c>
      <c r="B23" s="2">
        <v>0.41505579999999997</v>
      </c>
      <c r="C23" s="2" t="s">
        <v>85</v>
      </c>
      <c r="D23" s="2" t="s">
        <v>43</v>
      </c>
      <c r="E23" s="2"/>
    </row>
    <row r="24" spans="1:5" x14ac:dyDescent="0.2">
      <c r="A24" s="1" t="s">
        <v>44</v>
      </c>
      <c r="B24" s="2">
        <v>-1.4795623</v>
      </c>
      <c r="C24" s="2" t="s">
        <v>85</v>
      </c>
      <c r="D24" s="2" t="s">
        <v>45</v>
      </c>
      <c r="E24" s="2"/>
    </row>
    <row r="25" spans="1:5" x14ac:dyDescent="0.2">
      <c r="A25" s="1" t="s">
        <v>46</v>
      </c>
      <c r="B25" s="2">
        <v>-0.55866539999999998</v>
      </c>
      <c r="C25" s="2" t="s">
        <v>85</v>
      </c>
      <c r="D25" s="2" t="s">
        <v>47</v>
      </c>
      <c r="E25" s="2"/>
    </row>
    <row r="26" spans="1:5" x14ac:dyDescent="0.2">
      <c r="A26" s="1" t="s">
        <v>48</v>
      </c>
      <c r="B26" s="2">
        <v>0.21994900000000001</v>
      </c>
      <c r="C26" s="2" t="s">
        <v>85</v>
      </c>
      <c r="D26" s="2" t="s">
        <v>49</v>
      </c>
      <c r="E26" s="2"/>
    </row>
    <row r="27" spans="1:5" x14ac:dyDescent="0.2">
      <c r="A27" s="1" t="s">
        <v>50</v>
      </c>
      <c r="B27" s="2">
        <v>-0.24706400000000001</v>
      </c>
      <c r="C27" s="2" t="s">
        <v>85</v>
      </c>
      <c r="D27" s="2" t="s">
        <v>51</v>
      </c>
      <c r="E27" s="2"/>
    </row>
    <row r="28" spans="1:5" x14ac:dyDescent="0.2">
      <c r="A28" s="1" t="s">
        <v>52</v>
      </c>
      <c r="B28" s="2">
        <v>5.7962999999999999E-3</v>
      </c>
      <c r="C28" s="2" t="s">
        <v>85</v>
      </c>
      <c r="D28" s="2" t="s">
        <v>53</v>
      </c>
      <c r="E28" s="2"/>
    </row>
    <row r="29" spans="1:5" x14ac:dyDescent="0.2">
      <c r="A29" s="1" t="s">
        <v>54</v>
      </c>
      <c r="B29" s="2">
        <v>0.44620549999999998</v>
      </c>
      <c r="C29" s="2" t="s">
        <v>85</v>
      </c>
      <c r="D29" s="2" t="s">
        <v>55</v>
      </c>
      <c r="E29" s="2"/>
    </row>
    <row r="30" spans="1:5" x14ac:dyDescent="0.2">
      <c r="A30" s="1" t="s">
        <v>56</v>
      </c>
      <c r="B30" s="2">
        <v>7.1311799999999995E-2</v>
      </c>
      <c r="C30" s="2" t="s">
        <v>85</v>
      </c>
      <c r="D30" s="2" t="s">
        <v>57</v>
      </c>
      <c r="E30" s="2"/>
    </row>
    <row r="31" spans="1:5" x14ac:dyDescent="0.2">
      <c r="A31" s="1" t="s">
        <v>58</v>
      </c>
      <c r="B31" s="2">
        <v>0.78722990000000004</v>
      </c>
      <c r="C31" s="2" t="s">
        <v>85</v>
      </c>
      <c r="D31" s="2" t="s">
        <v>59</v>
      </c>
      <c r="E31" s="2"/>
    </row>
    <row r="32" spans="1:5" x14ac:dyDescent="0.2">
      <c r="A32" s="1" t="s">
        <v>60</v>
      </c>
      <c r="B32" s="2">
        <v>-0.2204303</v>
      </c>
      <c r="C32" s="2" t="s">
        <v>85</v>
      </c>
      <c r="D32" s="2" t="s">
        <v>61</v>
      </c>
      <c r="E32" s="2"/>
    </row>
    <row r="33" spans="1:5" x14ac:dyDescent="0.2">
      <c r="A33" s="1" t="s">
        <v>62</v>
      </c>
      <c r="B33" s="2">
        <v>0.36787019999999998</v>
      </c>
      <c r="C33" s="2" t="s">
        <v>85</v>
      </c>
      <c r="D33" s="2" t="s">
        <v>63</v>
      </c>
      <c r="E33" s="2"/>
    </row>
    <row r="34" spans="1:5" x14ac:dyDescent="0.2">
      <c r="A34" s="1" t="s">
        <v>64</v>
      </c>
      <c r="B34" s="2">
        <v>0</v>
      </c>
      <c r="C34" s="2" t="s">
        <v>85</v>
      </c>
      <c r="D34" s="2" t="s">
        <v>65</v>
      </c>
      <c r="E34" s="2"/>
    </row>
    <row r="35" spans="1:5" x14ac:dyDescent="0.2">
      <c r="A35" s="1" t="s">
        <v>66</v>
      </c>
      <c r="B35" s="2">
        <v>0</v>
      </c>
      <c r="C35" s="2" t="s">
        <v>85</v>
      </c>
      <c r="D35" s="2" t="s">
        <v>67</v>
      </c>
      <c r="E35" s="2"/>
    </row>
    <row r="36" spans="1:5" x14ac:dyDescent="0.2">
      <c r="A36" s="1" t="s">
        <v>68</v>
      </c>
      <c r="B36" s="2">
        <v>0</v>
      </c>
      <c r="C36" s="2" t="s">
        <v>85</v>
      </c>
      <c r="D36" s="2" t="s">
        <v>69</v>
      </c>
      <c r="E36" s="2"/>
    </row>
    <row r="37" spans="1:5" x14ac:dyDescent="0.2">
      <c r="A37" s="1" t="s">
        <v>70</v>
      </c>
      <c r="B37" s="2">
        <v>0</v>
      </c>
      <c r="C37" s="2" t="s">
        <v>85</v>
      </c>
      <c r="D37" s="2" t="s">
        <v>71</v>
      </c>
      <c r="E37" s="2"/>
    </row>
    <row r="38" spans="1:5" x14ac:dyDescent="0.2">
      <c r="A38" s="1" t="s">
        <v>72</v>
      </c>
      <c r="B38" s="2">
        <v>0</v>
      </c>
      <c r="C38" s="2" t="s">
        <v>85</v>
      </c>
      <c r="D38" s="2" t="s">
        <v>73</v>
      </c>
      <c r="E38" s="2"/>
    </row>
    <row r="39" spans="1:5" x14ac:dyDescent="0.2">
      <c r="A39" s="1" t="s">
        <v>74</v>
      </c>
      <c r="B39" s="2">
        <v>0</v>
      </c>
      <c r="C39" s="2" t="s">
        <v>85</v>
      </c>
      <c r="D39" s="2" t="s">
        <v>75</v>
      </c>
      <c r="E39" s="2"/>
    </row>
    <row r="42" spans="1:5" x14ac:dyDescent="0.2">
      <c r="B42" s="2"/>
    </row>
    <row r="43" spans="1:5" x14ac:dyDescent="0.2">
      <c r="B43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55" spans="2:2" x14ac:dyDescent="0.2">
      <c r="B55" s="2"/>
    </row>
    <row r="56" spans="2:2" x14ac:dyDescent="0.2">
      <c r="B56" s="2"/>
    </row>
    <row r="57" spans="2:2" x14ac:dyDescent="0.2">
      <c r="B57" s="2"/>
    </row>
    <row r="58" spans="2:2" x14ac:dyDescent="0.2">
      <c r="B58" s="2"/>
    </row>
    <row r="59" spans="2:2" x14ac:dyDescent="0.2">
      <c r="B59" s="2"/>
    </row>
    <row r="60" spans="2:2" x14ac:dyDescent="0.2">
      <c r="B60" s="2"/>
    </row>
    <row r="61" spans="2:2" x14ac:dyDescent="0.2">
      <c r="B61" s="2"/>
    </row>
    <row r="62" spans="2:2" x14ac:dyDescent="0.2">
      <c r="B62" s="2"/>
    </row>
    <row r="63" spans="2:2" x14ac:dyDescent="0.2">
      <c r="B63" s="2"/>
    </row>
    <row r="64" spans="2:2" x14ac:dyDescent="0.2">
      <c r="B64" s="2"/>
    </row>
    <row r="65" spans="2:2" x14ac:dyDescent="0.2">
      <c r="B65" s="2"/>
    </row>
    <row r="66" spans="2:2" x14ac:dyDescent="0.2">
      <c r="B66" s="2"/>
    </row>
    <row r="67" spans="2:2" x14ac:dyDescent="0.2">
      <c r="B67" s="2"/>
    </row>
    <row r="68" spans="2:2" x14ac:dyDescent="0.2">
      <c r="B68" s="2"/>
    </row>
    <row r="69" spans="2:2" x14ac:dyDescent="0.2">
      <c r="B69" s="2"/>
    </row>
    <row r="70" spans="2:2" x14ac:dyDescent="0.2">
      <c r="B70" s="2"/>
    </row>
    <row r="71" spans="2:2" x14ac:dyDescent="0.2">
      <c r="B71" s="2"/>
    </row>
    <row r="72" spans="2:2" x14ac:dyDescent="0.2">
      <c r="B72" s="2"/>
    </row>
    <row r="73" spans="2:2" x14ac:dyDescent="0.2">
      <c r="B73" s="2"/>
    </row>
    <row r="74" spans="2:2" x14ac:dyDescent="0.2">
      <c r="B74" s="2"/>
    </row>
    <row r="75" spans="2:2" x14ac:dyDescent="0.2">
      <c r="B75" s="2"/>
    </row>
    <row r="76" spans="2:2" x14ac:dyDescent="0.2">
      <c r="B76" s="2"/>
    </row>
    <row r="77" spans="2:2" x14ac:dyDescent="0.2">
      <c r="B7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Jonathan Morris</cp:lastModifiedBy>
  <dcterms:created xsi:type="dcterms:W3CDTF">2026-04-08T21:10:59Z</dcterms:created>
  <dcterms:modified xsi:type="dcterms:W3CDTF">2026-04-09T21:42:30Z</dcterms:modified>
</cp:coreProperties>
</file>