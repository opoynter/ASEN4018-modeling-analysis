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 Evans\Documents\ASEN 4138 TF\AES-AircraftDesignToolbox\MAIN\Mass Analysis\component_mass\"/>
    </mc:Choice>
  </mc:AlternateContent>
  <xr:revisionPtr revIDLastSave="0" documentId="13_ncr:1_{E085ED17-8B09-4009-9F05-C230A531DCE3}" xr6:coauthVersionLast="47" xr6:coauthVersionMax="47" xr10:uidLastSave="{00000000-0000-0000-0000-000000000000}"/>
  <bookViews>
    <workbookView xWindow="-120" yWindow="-120" windowWidth="29040" windowHeight="15720" xr2:uid="{BED3AE06-441B-4FE1-833F-1F211E61433F}"/>
  </bookViews>
  <sheets>
    <sheet name="Designer Inputs" sheetId="3" r:id="rId1"/>
    <sheet name="Group Weight Statement" sheetId="1" r:id="rId2"/>
    <sheet name="LISTS" sheetId="2" r:id="rId3"/>
  </sheets>
  <definedNames>
    <definedName name="CATAGORY">LISTS!$A$2:$A$4</definedName>
    <definedName name="Ht_Hv">LISTS!$A$20:$A$21</definedName>
    <definedName name="K_cb">LISTS!#REF!</definedName>
    <definedName name="K_door">LISTS!$A$28:$A$31</definedName>
    <definedName name="K_dw">LISTS!$A$8:$A$9</definedName>
    <definedName name="K_dwf">LISTS!$A$38:$A$39</definedName>
    <definedName name="K_Lg">LISTS!$A$34:$A$35</definedName>
    <definedName name="K_ng">LISTS!$A$42:$A$43</definedName>
    <definedName name="K_rht">LISTS!$A$24:$A$25</definedName>
    <definedName name="K_tr">LISTS!$A$50:$A$51</definedName>
    <definedName name="K_uht">LISTS!$A$16:$A$17</definedName>
    <definedName name="K_vg">LISTS!$A$46:$A$47</definedName>
    <definedName name="K_vs">LISTS!$A$12:$A$13</definedName>
    <definedName name="LG">LISTS!$A$54:$A$55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1" i="3"/>
  <c r="F86" i="1"/>
  <c r="F87" i="1"/>
  <c r="F88" i="1"/>
  <c r="F89" i="1"/>
  <c r="F90" i="1"/>
  <c r="F91" i="1"/>
  <c r="F92" i="1"/>
  <c r="E86" i="1"/>
  <c r="E87" i="1"/>
  <c r="E88" i="1"/>
  <c r="E89" i="1"/>
  <c r="E90" i="1"/>
  <c r="E91" i="1"/>
  <c r="E92" i="1"/>
  <c r="F85" i="1"/>
  <c r="E85" i="1"/>
  <c r="C86" i="1"/>
  <c r="C89" i="1"/>
  <c r="C90" i="1"/>
  <c r="C91" i="1"/>
  <c r="C92" i="1"/>
  <c r="B81" i="1"/>
  <c r="D87" i="1" s="1"/>
  <c r="B80" i="1"/>
  <c r="C87" i="1" s="1"/>
  <c r="C12" i="3"/>
  <c r="B11" i="1" s="1"/>
  <c r="B37" i="1" a="1"/>
  <c r="B37" i="1" s="1"/>
  <c r="B42" i="1"/>
  <c r="B41" i="1"/>
  <c r="B40" i="1"/>
  <c r="B39" i="1"/>
  <c r="B38" i="1"/>
  <c r="C84" i="3"/>
  <c r="B23" i="1"/>
  <c r="B32" i="1" s="1"/>
  <c r="C52" i="3"/>
  <c r="B10" i="1"/>
  <c r="B9" i="1"/>
  <c r="B46" i="1" s="1"/>
  <c r="B8" i="1"/>
  <c r="B61" i="1" s="1" a="1"/>
  <c r="B61" i="1" s="1"/>
  <c r="B35" i="1" a="1"/>
  <c r="B35" i="1" s="1"/>
  <c r="C66" i="3"/>
  <c r="C62" i="3"/>
  <c r="C63" i="3"/>
  <c r="C50" i="3"/>
  <c r="C34" i="3"/>
  <c r="B17" i="1" l="1" a="1"/>
  <c r="B17" i="1" s="1"/>
  <c r="B20" i="1" a="1"/>
  <c r="B20" i="1" s="1"/>
  <c r="B29" i="1"/>
  <c r="C85" i="1"/>
  <c r="D90" i="1"/>
  <c r="D89" i="1"/>
  <c r="D86" i="1"/>
  <c r="D85" i="1"/>
  <c r="D92" i="1"/>
  <c r="D91" i="1"/>
  <c r="C88" i="1"/>
  <c r="D88" i="1"/>
  <c r="C68" i="1"/>
  <c r="A85" i="1" s="1"/>
  <c r="B24" i="1" a="1"/>
  <c r="B24" i="1" s="1"/>
  <c r="B33" i="1" s="1"/>
  <c r="B12" i="1"/>
  <c r="B60" i="1" a="1"/>
  <c r="B60" i="1" s="1"/>
  <c r="B44" i="1"/>
  <c r="B45" i="1"/>
  <c r="B26" i="1"/>
  <c r="B19" i="1" a="1"/>
  <c r="B19" i="1" s="1"/>
  <c r="B18" i="1" a="1"/>
  <c r="B18" i="1" s="1"/>
  <c r="B34" i="1" a="1"/>
  <c r="B34" i="1" s="1"/>
  <c r="C70" i="1" l="1"/>
  <c r="C69" i="1"/>
  <c r="A86" i="1" s="1"/>
  <c r="C75" i="1"/>
  <c r="B30" i="1"/>
  <c r="B27" i="1"/>
  <c r="C72" i="1"/>
  <c r="A89" i="1" s="1"/>
  <c r="C71" i="1"/>
  <c r="A88" i="1" s="1"/>
  <c r="C74" i="1"/>
  <c r="A91" i="1" s="1"/>
  <c r="C73" i="1"/>
  <c r="A90" i="1" s="1"/>
  <c r="A87" i="1"/>
  <c r="B22" i="1"/>
  <c r="B68" i="1" s="1"/>
  <c r="B74" i="1" l="1"/>
  <c r="B91" i="1" s="1"/>
  <c r="B75" i="1"/>
  <c r="D75" i="1" s="1"/>
  <c r="B69" i="1"/>
  <c r="B86" i="1" s="1"/>
  <c r="B71" i="1"/>
  <c r="B88" i="1" s="1"/>
  <c r="B72" i="1"/>
  <c r="D72" i="1" s="1"/>
  <c r="B73" i="1"/>
  <c r="B90" i="1" s="1"/>
  <c r="B70" i="1"/>
  <c r="B87" i="1" s="1"/>
  <c r="D68" i="1"/>
  <c r="B85" i="1"/>
  <c r="B28" i="1"/>
  <c r="B31" i="1"/>
  <c r="B25" i="1"/>
  <c r="B92" i="1" l="1"/>
  <c r="D74" i="1"/>
  <c r="D73" i="1"/>
  <c r="B89" i="1"/>
  <c r="D70" i="1"/>
  <c r="D71" i="1"/>
  <c r="D69" i="1"/>
  <c r="B64" i="1"/>
  <c r="A92" i="1" l="1"/>
  <c r="B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<sst xmlns="http://schemas.openxmlformats.org/spreadsheetml/2006/main" count="321" uniqueCount="247">
  <si>
    <t>Aircraft Category</t>
  </si>
  <si>
    <t>Fighter</t>
  </si>
  <si>
    <t>Bomber/Large Jet Transport</t>
  </si>
  <si>
    <t>Horizontal Tail</t>
  </si>
  <si>
    <t>Vertical Tail</t>
  </si>
  <si>
    <t>Group Weight Statement</t>
  </si>
  <si>
    <t>Wing</t>
  </si>
  <si>
    <t>Fuselage</t>
  </si>
  <si>
    <t>Structure Group</t>
  </si>
  <si>
    <t>Propulsion Group</t>
  </si>
  <si>
    <t>Jet Engine Mounts</t>
  </si>
  <si>
    <t>Other Subsystems</t>
  </si>
  <si>
    <t>Crew/Passenger/Payload Group</t>
  </si>
  <si>
    <t>All Others Subsystems Estimate</t>
  </si>
  <si>
    <t>Crew</t>
  </si>
  <si>
    <t>Passenger Group 1</t>
  </si>
  <si>
    <t>Passenger Group 2</t>
  </si>
  <si>
    <t>Passenger Group 3</t>
  </si>
  <si>
    <t>Fuel Tanks 1</t>
  </si>
  <si>
    <t>Fuel Tanks 2</t>
  </si>
  <si>
    <t>Fuel Tanks 3</t>
  </si>
  <si>
    <t>Fuel Tanks 4</t>
  </si>
  <si>
    <t>Fuel Tanks 5</t>
  </si>
  <si>
    <t>Fuel Tanks 6</t>
  </si>
  <si>
    <t>Component Weight Estimation Designer Inputs</t>
  </si>
  <si>
    <t>W_dg</t>
  </si>
  <si>
    <t>Nz</t>
  </si>
  <si>
    <t>t/c_root</t>
  </si>
  <si>
    <t>Main Wing Parameters</t>
  </si>
  <si>
    <t>S_csw</t>
  </si>
  <si>
    <t>K_dw</t>
  </si>
  <si>
    <t>K_vs</t>
  </si>
  <si>
    <t>Horizontal Tail Parameters</t>
  </si>
  <si>
    <t>W_fw</t>
  </si>
  <si>
    <t>q</t>
  </si>
  <si>
    <t>K_uht</t>
  </si>
  <si>
    <t>Fw</t>
  </si>
  <si>
    <t>Bh</t>
  </si>
  <si>
    <t>S_ht</t>
  </si>
  <si>
    <t>S_w</t>
  </si>
  <si>
    <t>Ky</t>
  </si>
  <si>
    <t>Sweep_ht</t>
  </si>
  <si>
    <t>Sweep_w</t>
  </si>
  <si>
    <t>AR_ht</t>
  </si>
  <si>
    <t>AR_w</t>
  </si>
  <si>
    <t>t/c_root_ht</t>
  </si>
  <si>
    <t>Se</t>
  </si>
  <si>
    <t>Taper_w</t>
  </si>
  <si>
    <t>Taper_ht</t>
  </si>
  <si>
    <t>Vertical Tail Parameters</t>
  </si>
  <si>
    <t>L_ht</t>
  </si>
  <si>
    <t>L_vt</t>
  </si>
  <si>
    <t>S_vt</t>
  </si>
  <si>
    <t>Sweep_vt</t>
  </si>
  <si>
    <t>AR_vt</t>
  </si>
  <si>
    <t>t/c_root_vt</t>
  </si>
  <si>
    <t>K_rht</t>
  </si>
  <si>
    <t>M</t>
  </si>
  <si>
    <t>Sr</t>
  </si>
  <si>
    <t>Taper_vt</t>
  </si>
  <si>
    <t>Fuselage Parameters</t>
  </si>
  <si>
    <t>K_door</t>
  </si>
  <si>
    <t>K_Lg</t>
  </si>
  <si>
    <t>L</t>
  </si>
  <si>
    <t>Sf</t>
  </si>
  <si>
    <t>K_ws</t>
  </si>
  <si>
    <t>L/D_fineness</t>
  </si>
  <si>
    <t>K_dwf</t>
  </si>
  <si>
    <t>Width</t>
  </si>
  <si>
    <t>Diameter</t>
  </si>
  <si>
    <t>W_pressurize</t>
  </si>
  <si>
    <t>Jet Engine Mounts &amp; Engine Section Parameters</t>
  </si>
  <si>
    <t>K_ng</t>
  </si>
  <si>
    <t>N_Lt</t>
  </si>
  <si>
    <t>Nw</t>
  </si>
  <si>
    <t>Sn</t>
  </si>
  <si>
    <t>K_vg</t>
  </si>
  <si>
    <t>L_s</t>
  </si>
  <si>
    <t>K_d</t>
  </si>
  <si>
    <t>L_d</t>
  </si>
  <si>
    <t>De</t>
  </si>
  <si>
    <t>W_en_jet</t>
  </si>
  <si>
    <t>Total Installed Engine+Mount+Prop Parameters</t>
  </si>
  <si>
    <t>Jet Air Inlet or Nacelle Parameters</t>
  </si>
  <si>
    <t>N_en_jet</t>
  </si>
  <si>
    <t>Flight Design Gross Weight (@50% internal fuel)</t>
  </si>
  <si>
    <t>Estimated Total Aircraft Weight (Wo)</t>
  </si>
  <si>
    <t>lbs</t>
  </si>
  <si>
    <t>Esttimated Fuel Weight (Wf)</t>
  </si>
  <si>
    <t>Wo</t>
  </si>
  <si>
    <t>Wf</t>
  </si>
  <si>
    <t>Estimated Empty Weight (We)</t>
  </si>
  <si>
    <t>We</t>
  </si>
  <si>
    <t>Wing Planform Area (Sref)</t>
  </si>
  <si>
    <t>ft^2</t>
  </si>
  <si>
    <t>Wing Aspect Ratio</t>
  </si>
  <si>
    <t>Wing Thickness to Chord Ratio at Root</t>
  </si>
  <si>
    <t>Wing Taper Ratio</t>
  </si>
  <si>
    <t>Wing Sweep at c/4 (Quarter Chord)</t>
  </si>
  <si>
    <t>deg</t>
  </si>
  <si>
    <t>Wing Control Surface Area (ailerons, flaps, etc.  Just the area of control surface, not the affected area used in calculating CLmax)</t>
  </si>
  <si>
    <t>Delta Wing adjustment (0.768 if delta, otherwise 1)</t>
  </si>
  <si>
    <t>Variable Sweep wing adjustment (1.19 if variable, otherwise 1)</t>
  </si>
  <si>
    <t>Dynamic Pressure at Cruise</t>
  </si>
  <si>
    <t>lb/ft^2</t>
  </si>
  <si>
    <t>All moving horizontal adjustment (1.143 if all moving, otherwise 1)</t>
  </si>
  <si>
    <t>Fuselage width at horizontal tail intersection</t>
  </si>
  <si>
    <t>ft</t>
  </si>
  <si>
    <t>Horizontal Tail Span</t>
  </si>
  <si>
    <t>Horizontal Tail Planform Area</t>
  </si>
  <si>
    <t>Wing A.C. to Horizontail Tail A.C. length</t>
  </si>
  <si>
    <t>Aircraft Pitch Radius Gyration (=0.3* L_ht)</t>
  </si>
  <si>
    <t>Horz Tail Sweep at c/4</t>
  </si>
  <si>
    <t>Horz Tail Aspect Ratio</t>
  </si>
  <si>
    <t>Elevator Control Surface Area (if not all moving)</t>
  </si>
  <si>
    <t>Horz Tail Taper Ratio</t>
  </si>
  <si>
    <t>Horz Tail thickness to chord ratio @ root</t>
  </si>
  <si>
    <t>Ht/Hv</t>
  </si>
  <si>
    <t>T-Tail Adjustment (0 for conventional tail, 1.0 for t-tail)</t>
  </si>
  <si>
    <t>Wing A.C. to Vertical Tail A.C. length</t>
  </si>
  <si>
    <t>Vert Tail Planform Area</t>
  </si>
  <si>
    <t>Vert Tail Sweep at c/4</t>
  </si>
  <si>
    <t>Vert Tail Aspect Ratio</t>
  </si>
  <si>
    <t>Vert Tail thickness to chord ratio @ root</t>
  </si>
  <si>
    <t>Rolling Horz Tail Adjustment (1.047 if horz tail used in roll, otherwise 1)</t>
  </si>
  <si>
    <t>Design Max Mach</t>
  </si>
  <si>
    <t>Rudder Control Surface Area</t>
  </si>
  <si>
    <t>Vert Tail Taper Ratio</t>
  </si>
  <si>
    <t>Parameters</t>
  </si>
  <si>
    <t>No cargo door = 1
One Side Cargo Door = 1.06
Two Side Cargo Doors = 1.12
Aft Clamshell Cargo Doors = 1.12
Two Side Cargo Doors + Aft Clamshell Doors = 1.25</t>
  </si>
  <si>
    <t>Fuselage Mounted Main Gear (1.12 for yes, 1 for no)</t>
  </si>
  <si>
    <t>Fuselage Structural Length (not inluding nose cone or tail cap)</t>
  </si>
  <si>
    <t>Lf</t>
  </si>
  <si>
    <t>Total Fuselage Length (including nose cone and tail cap)</t>
  </si>
  <si>
    <t>Fuselage Wetted Area</t>
  </si>
  <si>
    <t>Wing Sweep Factor (calculated value)</t>
  </si>
  <si>
    <t>Wing Span</t>
  </si>
  <si>
    <t>Bw</t>
  </si>
  <si>
    <t>Fuselage Max Diameter</t>
  </si>
  <si>
    <t>Fuselage Max Width</t>
  </si>
  <si>
    <t>Fuselage Adjustment for Delta Wing (0.774 for delta, otherwise 1)</t>
  </si>
  <si>
    <t>Volume of Pressurized Fuselage Segment</t>
  </si>
  <si>
    <t>V_pr</t>
  </si>
  <si>
    <t>ft^3</t>
  </si>
  <si>
    <t>Pressurized Fuselage Adjustment (calculated)</t>
  </si>
  <si>
    <t>lb</t>
  </si>
  <si>
    <t>Ultimate Load Factor (1.5 factor of safety x Nmax)</t>
  </si>
  <si>
    <t>Total number of jet engines</t>
  </si>
  <si>
    <t>Max Thrust per Engine (@ sea level static)</t>
  </si>
  <si>
    <t>Jet Engine Weight (per engine)</t>
  </si>
  <si>
    <t>Pylon mounted nacelle adjustment (1.017 if yes, otherwise 1)</t>
  </si>
  <si>
    <t>Variable Geometry Inlet Adjustment (1.62 if variable, otherwise 1)</t>
  </si>
  <si>
    <t>Duct Constant based on figure 15.3 in Raymer</t>
  </si>
  <si>
    <t>Total Inlet Duct length (to engine face)</t>
  </si>
  <si>
    <t>Inlet Duct Length that is single (not divided)</t>
  </si>
  <si>
    <t>Jet Engine Diameter</t>
  </si>
  <si>
    <t>Weight of motor/engine for prop aircraft</t>
  </si>
  <si>
    <t>Number of engines total for prop aircraft</t>
  </si>
  <si>
    <t>General Aviation/Prop Transport</t>
  </si>
  <si>
    <t>Landing Gear</t>
  </si>
  <si>
    <t>Fixed or Retractable?</t>
  </si>
  <si>
    <t>LG</t>
  </si>
  <si>
    <t>Fixed</t>
  </si>
  <si>
    <t>Retractable</t>
  </si>
  <si>
    <t>Component Weight (lbs)</t>
  </si>
  <si>
    <t>Weight of Fuel in Wings (if no fuel in wings, must input a "1")</t>
  </si>
  <si>
    <t>Kz</t>
  </si>
  <si>
    <t>Aircraft Yawing Radius of Gyration (= L_vt)</t>
  </si>
  <si>
    <t>Engine+Prop+Mount 1</t>
  </si>
  <si>
    <t>Engine+Prop+Mount 2</t>
  </si>
  <si>
    <t>Engine+Prop+Mount 3</t>
  </si>
  <si>
    <t>Engine+Prop+Mount 4</t>
  </si>
  <si>
    <t>Jet Engine 1</t>
  </si>
  <si>
    <t>Jet Engine 1 Totals</t>
  </si>
  <si>
    <t>Jet Engine 2 Totals</t>
  </si>
  <si>
    <t>Jet Engine 3 Totals</t>
  </si>
  <si>
    <t>Jet Engine 4 Totals</t>
  </si>
  <si>
    <t>Jet Engine 3</t>
  </si>
  <si>
    <t>Jet Engine 2</t>
  </si>
  <si>
    <t>Jet Engine 1 Nacelles</t>
  </si>
  <si>
    <t>Jet Engine 2 Nacelles</t>
  </si>
  <si>
    <t>Jet Engine 3 Nacelles</t>
  </si>
  <si>
    <t>Jet Engine Air Inlet System</t>
  </si>
  <si>
    <t xml:space="preserve">Jet Engine 4 Nacelles </t>
  </si>
  <si>
    <t>Wec</t>
  </si>
  <si>
    <t>Thrust Reverser Adjustment (1.18 with reverser, otherwise 1)</t>
  </si>
  <si>
    <t>K_tr</t>
  </si>
  <si>
    <t>Engine Contents Weight</t>
  </si>
  <si>
    <t>Jet Engine 4</t>
  </si>
  <si>
    <t>N_en_prop</t>
  </si>
  <si>
    <t>W_en_prop</t>
  </si>
  <si>
    <t>Tmax_jet</t>
  </si>
  <si>
    <t>Engine+Prop+Mount 5</t>
  </si>
  <si>
    <t>Engine+Prop+Mount 6</t>
  </si>
  <si>
    <t>Refined Empty Weight Estimate (lbs)</t>
  </si>
  <si>
    <t>Delta Empty Weight (lbs)</t>
  </si>
  <si>
    <t xml:space="preserve"> (Items in Red Italicizes not inluded in Empty Weight Estimate and only used in CG Analysis)</t>
  </si>
  <si>
    <t>Payload / Cargo 1</t>
  </si>
  <si>
    <t>Payload / Cargo 2</t>
  </si>
  <si>
    <t>Payload / Cargo 3</t>
  </si>
  <si>
    <t>Aircraft Neutral Point (ft)</t>
  </si>
  <si>
    <t>Aircraft Weights &amp; Balance</t>
  </si>
  <si>
    <t>TOTAL WEIGHTS</t>
  </si>
  <si>
    <t>Value</t>
  </si>
  <si>
    <t>Unit</t>
  </si>
  <si>
    <t>Aircraft Parameters</t>
  </si>
  <si>
    <t xml:space="preserve">Direct Inputs Required for Yellow Cells (White Cells are auto-calculated) </t>
  </si>
  <si>
    <t>Use only English units as stated for values entered</t>
  </si>
  <si>
    <t>Component CG X-location (ft)
x = 0 @ nose, centroid of component</t>
  </si>
  <si>
    <t>Fuselage Fineness Ratio</t>
  </si>
  <si>
    <t>Xcg</t>
  </si>
  <si>
    <t>Xcg (ft)</t>
  </si>
  <si>
    <t>Min Desired Static Margin</t>
  </si>
  <si>
    <t>Max Desired Static Margin</t>
  </si>
  <si>
    <t>Aircraft Mean Aerodynamic Chord (ft)</t>
  </si>
  <si>
    <t>Static Margin (%)</t>
  </si>
  <si>
    <t>Aft CG Travel Limits</t>
  </si>
  <si>
    <t>Forward CG Travel limits</t>
  </si>
  <si>
    <t>Load Case Weight (lb)</t>
  </si>
  <si>
    <t>Flight Load Case</t>
  </si>
  <si>
    <t>Total Takeoff Weight, Wo (ft)</t>
  </si>
  <si>
    <t>Load Case #1:  Fuel Tank #1 Empty</t>
  </si>
  <si>
    <t>Load Case #2:  Fuel Tank #1 &amp; #2 Empty</t>
  </si>
  <si>
    <t>Load Case #3:  Fuel Tank #1,#2, and #3 Empty</t>
  </si>
  <si>
    <t>Load Case #4</t>
  </si>
  <si>
    <t>Load Case #5</t>
  </si>
  <si>
    <t>Load Case #6</t>
  </si>
  <si>
    <t>Final Load Case: Empty Weight, Wo (ft)</t>
  </si>
  <si>
    <t>W</t>
  </si>
  <si>
    <t>Aft CG limit</t>
  </si>
  <si>
    <t>Forward CG limit</t>
  </si>
  <si>
    <t>Min SM</t>
  </si>
  <si>
    <t>Max SM</t>
  </si>
  <si>
    <t>Source:  Raymer Ch 15</t>
  </si>
  <si>
    <t>CG TRAVEL AND LONGITUDINAL STATIC STABILITY (Update Xcg Equations based on User Defined Load Cases)</t>
  </si>
  <si>
    <t>Category of Aircraft (Select Category of Aircraft from Pull-Down Menu)</t>
  </si>
  <si>
    <t>Nacelle Length (HBP Turbofan Only)</t>
  </si>
  <si>
    <t>Nacelle Width (HBP Turbofan Only)</t>
  </si>
  <si>
    <t>Nacelle Wetted Area (HBP Turbofan Only)</t>
  </si>
  <si>
    <t>Category</t>
  </si>
  <si>
    <t>Select Type From Dropdown:</t>
  </si>
  <si>
    <t>W_payload</t>
  </si>
  <si>
    <t>Estimated Other Payload Weight</t>
  </si>
  <si>
    <t>W_passenger</t>
  </si>
  <si>
    <t>Estimated Passenger Weight</t>
  </si>
  <si>
    <t>W_crew</t>
  </si>
  <si>
    <t>Estimated Crew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</si>
</sst>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right"/>
    </xf>
    <xf numFmtId="0" fontId="8" fillId="0" borderId="0" xfId="0" applyFont="1"/>
    <xf numFmtId="0" fontId="4" fillId="0" borderId="0" xfId="0" applyFont="1"/>
    <xf numFmtId="0" fontId="0" fillId="0" borderId="1" xfId="0" applyBorder="1"/>
    <xf numFmtId="0" fontId="4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4" fillId="5" borderId="1" xfId="0" applyFont="1" applyFill="1" applyBorder="1"/>
    <xf numFmtId="0" fontId="10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6" borderId="1" xfId="0" applyFont="1" applyFill="1" applyBorder="1"/>
    <xf numFmtId="0" fontId="4" fillId="7" borderId="1" xfId="0" applyFont="1" applyFill="1" applyBorder="1"/>
    <xf numFmtId="0" fontId="9" fillId="0" borderId="1" xfId="0" applyFont="1" applyBorder="1" applyAlignment="1">
      <alignment horizontal="right"/>
    </xf>
    <xf numFmtId="0" fontId="4" fillId="8" borderId="0" xfId="0" applyFont="1" applyFill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4" fillId="9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9" fontId="0" fillId="0" borderId="1" xfId="1" applyFont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0" xfId="0" applyNumberFormat="1"/>
    <xf numFmtId="9" fontId="0" fillId="0" borderId="0" xfId="1" applyFont="1"/>
    <xf numFmtId="0" fontId="0" fillId="2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4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13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Aircraft CG Travel and</a:t>
            </a:r>
            <a:r>
              <a:rPr lang="en-US" b="1" baseline="0"/>
              <a:t> Static Margin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'Group Weight Statement'!$C$67</c:f>
              <c:strCache>
                <c:ptCount val="1"/>
                <c:pt idx="0">
                  <c:v>Load Case Weight (lb)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'Group Weight Statement'!$B$68:$B$75</c:f>
              <c:numCache>
                <c:formatCode>General</c:formatCode>
                <c:ptCount val="8"/>
                <c:pt idx="0">
                  <c:v>13.795765121908598</c:v>
                </c:pt>
                <c:pt idx="1">
                  <c:v>13.4993381094847</c:v>
                </c:pt>
                <c:pt idx="2">
                  <c:v>13.095418198621452</c:v>
                </c:pt>
                <c:pt idx="3">
                  <c:v>12.574059742831313</c:v>
                </c:pt>
                <c:pt idx="4">
                  <c:v>12.574059742831313</c:v>
                </c:pt>
                <c:pt idx="5">
                  <c:v>12.574059742831313</c:v>
                </c:pt>
                <c:pt idx="6">
                  <c:v>12.574059742831313</c:v>
                </c:pt>
                <c:pt idx="7">
                  <c:v>13.513390054723766</c:v>
                </c:pt>
              </c:numCache>
            </c:numRef>
          </c:xVal>
          <c:yVal>
            <c:numRef>
              <c:f>'Group Weight Statement'!$C$68:$C$75</c:f>
              <c:numCache>
                <c:formatCode>General</c:formatCode>
                <c:ptCount val="8"/>
                <c:pt idx="0">
                  <c:v>2621.62</c:v>
                </c:pt>
                <c:pt idx="1">
                  <c:v>2547.6133333333332</c:v>
                </c:pt>
                <c:pt idx="2">
                  <c:v>2473.6066666666666</c:v>
                </c:pt>
                <c:pt idx="3">
                  <c:v>2399.6</c:v>
                </c:pt>
                <c:pt idx="4">
                  <c:v>2399.6</c:v>
                </c:pt>
                <c:pt idx="5">
                  <c:v>2399.6</c:v>
                </c:pt>
                <c:pt idx="6">
                  <c:v>2399.6</c:v>
                </c:pt>
                <c:pt idx="7">
                  <c:v>2099.6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8-493C-AD94-B8AE139A32E5}"/>
            </c:ext>
          </c:extLst>
        </c:ser>
        <c:ser>
          <c:idx val="2"/>
          <c:order val="2"/>
          <c:tx>
            <c:strRef>
              <c:f>'Group Weight Statement'!$C$84</c:f>
              <c:strCache>
                <c:ptCount val="1"/>
                <c:pt idx="0">
                  <c:v>Aft CG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'Group Weight Statement'!$C$85:$C$92</c:f>
              <c:numCache>
                <c:formatCode>General</c:formatCode>
                <c:ptCount val="8"/>
                <c:pt idx="0">
                  <c:v>26.828955217084445</c:v>
                </c:pt>
                <c:pt idx="1">
                  <c:v>26.828955217084445</c:v>
                </c:pt>
                <c:pt idx="2">
                  <c:v>26.828955217084445</c:v>
                </c:pt>
                <c:pt idx="3">
                  <c:v>26.828955217084445</c:v>
                </c:pt>
                <c:pt idx="4">
                  <c:v>26.828955217084445</c:v>
                </c:pt>
                <c:pt idx="5">
                  <c:v>26.828955217084445</c:v>
                </c:pt>
                <c:pt idx="6">
                  <c:v>26.828955217084445</c:v>
                </c:pt>
                <c:pt idx="7">
                  <c:v>26.828955217084445</c:v>
                </c:pt>
              </c:numCache>
            </c:numRef>
          </c:xVal>
          <c:yVal>
            <c:numRef>
              <c:f>'Group Weight Statement'!$A$85:$A$92</c:f>
              <c:numCache>
                <c:formatCode>General</c:formatCode>
                <c:ptCount val="8"/>
                <c:pt idx="0">
                  <c:v>2621.62</c:v>
                </c:pt>
                <c:pt idx="1">
                  <c:v>2547.6133333333332</c:v>
                </c:pt>
                <c:pt idx="2">
                  <c:v>2473.6066666666666</c:v>
                </c:pt>
                <c:pt idx="3">
                  <c:v>2399.6</c:v>
                </c:pt>
                <c:pt idx="4">
                  <c:v>2399.6</c:v>
                </c:pt>
                <c:pt idx="5">
                  <c:v>2399.6</c:v>
                </c:pt>
                <c:pt idx="6">
                  <c:v>2399.6</c:v>
                </c:pt>
                <c:pt idx="7">
                  <c:v>2099.6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98-493C-AD94-B8AE139A32E5}"/>
            </c:ext>
          </c:extLst>
        </c:ser>
        <c:ser>
          <c:idx val="3"/>
          <c:order val="3"/>
          <c:tx>
            <c:strRef>
              <c:f>'Group Weight Statement'!$D$84</c:f>
              <c:strCache>
                <c:ptCount val="1"/>
                <c:pt idx="0">
                  <c:v>Forward CG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2C98-493C-AD94-B8AE139A32E5}"/>
              </c:ext>
            </c:extLst>
          </c:dPt>
          <c:xVal>
            <c:numRef>
              <c:f>'Group Weight Statement'!$D$85:$D$92</c:f>
              <c:numCache>
                <c:formatCode>General</c:formatCode>
                <c:ptCount val="8"/>
                <c:pt idx="0">
                  <c:v>24.544776085422214</c:v>
                </c:pt>
                <c:pt idx="1">
                  <c:v>24.544776085422214</c:v>
                </c:pt>
                <c:pt idx="2">
                  <c:v>24.544776085422214</c:v>
                </c:pt>
                <c:pt idx="3">
                  <c:v>24.544776085422214</c:v>
                </c:pt>
                <c:pt idx="4">
                  <c:v>24.544776085422214</c:v>
                </c:pt>
                <c:pt idx="5">
                  <c:v>24.544776085422214</c:v>
                </c:pt>
                <c:pt idx="6">
                  <c:v>24.544776085422214</c:v>
                </c:pt>
                <c:pt idx="7">
                  <c:v>24.544776085422214</c:v>
                </c:pt>
              </c:numCache>
            </c:numRef>
          </c:xVal>
          <c:yVal>
            <c:numRef>
              <c:f>'Group Weight Statement'!$A$85:$A$92</c:f>
              <c:numCache>
                <c:formatCode>General</c:formatCode>
                <c:ptCount val="8"/>
                <c:pt idx="0">
                  <c:v>2621.62</c:v>
                </c:pt>
                <c:pt idx="1">
                  <c:v>2547.6133333333332</c:v>
                </c:pt>
                <c:pt idx="2">
                  <c:v>2473.6066666666666</c:v>
                </c:pt>
                <c:pt idx="3">
                  <c:v>2399.6</c:v>
                </c:pt>
                <c:pt idx="4">
                  <c:v>2399.6</c:v>
                </c:pt>
                <c:pt idx="5">
                  <c:v>2399.6</c:v>
                </c:pt>
                <c:pt idx="6">
                  <c:v>2399.6</c:v>
                </c:pt>
                <c:pt idx="7">
                  <c:v>2099.6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C98-493C-AD94-B8AE139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475823"/>
        <c:axId val="1669429871"/>
      </c:scatterChart>
      <c:scatterChart>
        <c:scatterStyle val="lineMarker"/>
        <c:varyColors val="0"/>
        <c:ser>
          <c:idx val="1"/>
          <c:order val="1"/>
          <c:tx>
            <c:strRef>
              <c:f>'Group Weight Statement'!$D$67</c:f>
              <c:strCache>
                <c:ptCount val="1"/>
                <c:pt idx="0">
                  <c:v>Static Margin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336297843570143E-3"/>
                  <c:y val="5.71098422937631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98-493C-AD94-B8AE139A32E5}"/>
                </c:ext>
              </c:extLst>
            </c:dLbl>
            <c:dLbl>
              <c:idx val="2"/>
              <c:layout>
                <c:manualLayout>
                  <c:x val="-7.4493825143629969E-2"/>
                  <c:y val="7.922755204845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98-493C-AD94-B8AE139A32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'Group Weight Statement'!$B$68:$B$75</c:f>
              <c:numCache>
                <c:formatCode>General</c:formatCode>
                <c:ptCount val="8"/>
                <c:pt idx="0">
                  <c:v>13.795765121908598</c:v>
                </c:pt>
                <c:pt idx="1">
                  <c:v>13.4993381094847</c:v>
                </c:pt>
                <c:pt idx="2">
                  <c:v>13.095418198621452</c:v>
                </c:pt>
                <c:pt idx="3">
                  <c:v>12.574059742831313</c:v>
                </c:pt>
                <c:pt idx="4">
                  <c:v>12.574059742831313</c:v>
                </c:pt>
                <c:pt idx="5">
                  <c:v>12.574059742831313</c:v>
                </c:pt>
                <c:pt idx="6">
                  <c:v>12.574059742831313</c:v>
                </c:pt>
                <c:pt idx="7">
                  <c:v>13.513390054723766</c:v>
                </c:pt>
              </c:numCache>
            </c:numRef>
          </c:xVal>
          <c:yVal>
            <c:numRef>
              <c:f>'Group Weight Statement'!$D$68:$D$75</c:f>
              <c:numCache>
                <c:formatCode>0%</c:formatCode>
                <c:ptCount val="8"/>
                <c:pt idx="0">
                  <c:v>1.1911705776062684</c:v>
                </c:pt>
                <c:pt idx="1">
                  <c:v>1.2171253732100777</c:v>
                </c:pt>
                <c:pt idx="2">
                  <c:v>1.2524921187743199</c:v>
                </c:pt>
                <c:pt idx="3">
                  <c:v>1.2981416432414083</c:v>
                </c:pt>
                <c:pt idx="4">
                  <c:v>1.2981416432414083</c:v>
                </c:pt>
                <c:pt idx="5">
                  <c:v>1.2981416432414083</c:v>
                </c:pt>
                <c:pt idx="6">
                  <c:v>1.2981416432414083</c:v>
                </c:pt>
                <c:pt idx="7">
                  <c:v>1.2158950016473324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98-493C-AD94-B8AE139A32E5}"/>
            </c:ext>
          </c:extLst>
        </c:ser>
        <c:ser>
          <c:idx val="4"/>
          <c:order val="4"/>
          <c:tx>
            <c:strRef>
              <c:f>'Group Weight Statement'!$E$84</c:f>
              <c:strCache>
                <c:ptCount val="1"/>
                <c:pt idx="0">
                  <c:v>Min SM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'Group Weight Statement'!$C$85:$D$85</c:f>
              <c:numCache>
                <c:formatCode>General</c:formatCode>
                <c:ptCount val="2"/>
                <c:pt idx="0">
                  <c:v>26.828955217084445</c:v>
                </c:pt>
                <c:pt idx="1">
                  <c:v>24.544776085422214</c:v>
                </c:pt>
              </c:numCache>
            </c:numRef>
          </c:xVal>
          <c:yVal>
            <c:numRef>
              <c:f>'Group Weight Statement'!$E$85:$E$86</c:f>
              <c:numCache>
                <c:formatCode>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98-493C-AD94-B8AE139A32E5}"/>
            </c:ext>
          </c:extLst>
        </c:ser>
        <c:ser>
          <c:idx val="5"/>
          <c:order val="5"/>
          <c:tx>
            <c:strRef>
              <c:f>'Group Weight Statement'!$F$84</c:f>
              <c:strCache>
                <c:ptCount val="1"/>
                <c:pt idx="0">
                  <c:v>Max SM</c:v>
                </c:pt>
              </c:strCache>
            </c:strRef>
          </c:tx>
          <c:spPr>
            <a:ln w="19050" cap="rnd" cmpd="thickThin">
              <a:solidFill>
                <a:srgbClr val="FF0000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'Group Weight Statement'!$C$85:$D$85</c:f>
              <c:numCache>
                <c:formatCode>General</c:formatCode>
                <c:ptCount val="2"/>
                <c:pt idx="0">
                  <c:v>26.828955217084445</c:v>
                </c:pt>
                <c:pt idx="1">
                  <c:v>24.544776085422214</c:v>
                </c:pt>
              </c:numCache>
            </c:numRef>
          </c:xVal>
          <c:yVal>
            <c:numRef>
              <c:f>'Group Weight Statement'!$F$85:$F$86</c:f>
              <c:numCache>
                <c:formatCode>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98-493C-AD94-B8AE139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926927"/>
        <c:axId val="2110930895"/>
      </c:scatterChart>
      <c:valAx>
        <c:axId val="95547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Aircraft Center of Gravity (From</a:t>
                </a:r>
                <a:r>
                  <a:rPr lang="en-US" baseline="0"/>
                  <a:t> Nose , Feet)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29871"/>
        <c:crosses val="autoZero"/>
        <c:crossBetween val="midCat"/>
      </c:valAx>
      <c:valAx>
        <c:axId val="1669429871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Aircraft</a:t>
                </a:r>
                <a:r>
                  <a:rPr lang="en-US" baseline="0">
                    <a:solidFill>
                      <a:schemeClr val="accent1"/>
                    </a:solidFill>
                  </a:rPr>
                  <a:t> Weight (lb)</a:t>
                </a:r>
                <a:endParaRPr lang="en-US">
                  <a:solidFill>
                    <a:schemeClr val="accent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75823"/>
        <c:crosses val="autoZero"/>
        <c:crossBetween val="midCat"/>
      </c:valAx>
      <c:valAx>
        <c:axId val="2110930895"/>
        <c:scaling>
          <c:orientation val="minMax"/>
          <c:max val="0.3000000000000000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Static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26927"/>
        <c:crosses val="max"/>
        <c:crossBetween val="midCat"/>
      </c:valAx>
      <c:valAx>
        <c:axId val="2110926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0930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258126</xdr:colOff>
      <xdr:row>67</xdr:row>
      <xdr:rowOff>93347</xdr:rowOff>
    </xdr:from>
    <xdr:to>
      <xdr:col>12</xdr:col>
      <xdr:colOff>556260</xdr:colOff>
      <xdr:row>87</xdr:row>
      <xdr:rowOff>173360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07D5AE8-B5A3-E901-19AD-2949EBA3D109}"/>
            </a:ext>
          </a:extLst>
        </xdr:cNvPr>
        <xdr:cNvGrpSpPr/>
      </xdr:nvGrpSpPr>
      <xdr:grpSpPr>
        <a:xfrm>
          <a:off x="5737108" y="16412285"/>
          <a:ext cx="5018488" cy="4513774"/>
          <a:chOff x="6041706" y="14914247"/>
          <a:chExt cx="5174934" cy="428625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274AF5CF-128A-8C1B-87C9-DD370F3C4D7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601" t="14207" r="10396"/>
          <a:stretch/>
        </xdr:blipFill>
        <xdr:spPr bwMode="auto">
          <a:xfrm rot="5400000">
            <a:off x="6486046" y="14469907"/>
            <a:ext cx="4286253" cy="51749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78E9792-C1C7-D5E1-EA42-A60315347460}"/>
              </a:ext>
            </a:extLst>
          </xdr:cNvPr>
          <xdr:cNvSpPr txBox="1"/>
        </xdr:nvSpPr>
        <xdr:spPr>
          <a:xfrm>
            <a:off x="8374380" y="18714720"/>
            <a:ext cx="261789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800" b="1">
                <a:solidFill>
                  <a:schemeClr val="bg1"/>
                </a:solidFill>
              </a:rPr>
              <a:t>Raymer Inlet Figures 15.3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13138</xdr:colOff>
      <xdr:row>81</xdr:row>
      <xdr:rowOff>71720</xdr:rowOff>
    </xdr:from>
    <xdr:to>
      <xdr:col>5</xdr:col>
      <xdr:colOff>1517488</xdr:colOff>
      <xdr:row>108</xdr:row>
      <xdr:rowOff>136769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F46CA-DBE6-A180-A993-E1AC9E5AD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C9F1-CF71-42C9-916D-24F28444CEEB}">
  <dimension ref="A1:D94"/>
  <sheetViews>
    <sheetView tabSelected="1" zoomScale="113" workbookViewId="0">
      <selection activeCell="H18" sqref="H18"/>
    </sheetView>
  </sheetViews>
  <sheetFormatPr defaultColWidth="8.85546875" defaultRowHeight="15" x14ac:dyDescent="0.25"/>
  <cols>
    <col min="1" max="1" width="45" customWidth="1"/>
    <col min="2" max="2" width="16.28515625" bestFit="1" customWidth="1"/>
    <col min="3" max="3" width="12" bestFit="1" customWidth="1"/>
  </cols>
  <sheetData>
    <row r="1" spans="1:4" ht="26.25" x14ac:dyDescent="0.4">
      <c r="A1" s="2" t="s">
        <v>24</v>
      </c>
    </row>
    <row r="2" spans="1:4" x14ac:dyDescent="0.25">
      <c r="A2" s="40" t="s">
        <v>206</v>
      </c>
      <c r="B2" s="40"/>
      <c r="C2" s="40"/>
      <c r="D2" s="40"/>
    </row>
    <row r="3" spans="1:4" x14ac:dyDescent="0.25">
      <c r="A3" s="39" t="s">
        <v>207</v>
      </c>
      <c r="B3" s="39"/>
      <c r="C3" s="39"/>
      <c r="D3" s="39"/>
    </row>
    <row r="4" spans="1:4" x14ac:dyDescent="0.25">
      <c r="A4" s="3" t="s">
        <v>233</v>
      </c>
    </row>
    <row r="5" spans="1:4" x14ac:dyDescent="0.25">
      <c r="A5" s="17" t="s">
        <v>205</v>
      </c>
      <c r="B5" s="17"/>
      <c r="C5" s="17" t="s">
        <v>203</v>
      </c>
      <c r="D5" s="17" t="s">
        <v>204</v>
      </c>
    </row>
    <row r="6" spans="1:4" x14ac:dyDescent="0.25">
      <c r="A6" s="15" t="s">
        <v>246</v>
      </c>
      <c r="B6" s="4" t="s">
        <v>245</v>
      </c>
      <c r="C6" s="18">
        <v>300</v>
      </c>
      <c r="D6" s="4" t="s">
        <v>87</v>
      </c>
    </row>
    <row r="7" spans="1:4" x14ac:dyDescent="0.25">
      <c r="A7" s="15" t="s">
        <v>244</v>
      </c>
      <c r="B7" s="4" t="s">
        <v>243</v>
      </c>
      <c r="C7" s="18">
        <v>300</v>
      </c>
      <c r="D7" s="4" t="s">
        <v>87</v>
      </c>
    </row>
    <row r="8" spans="1:4" x14ac:dyDescent="0.25">
      <c r="A8" s="15" t="s">
        <v>242</v>
      </c>
      <c r="B8" s="4" t="s">
        <v>241</v>
      </c>
      <c r="C8" s="18">
        <v>120</v>
      </c>
      <c r="D8" s="4" t="s">
        <v>87</v>
      </c>
    </row>
    <row r="9" spans="1:4" x14ac:dyDescent="0.25">
      <c r="A9" s="15" t="s">
        <v>88</v>
      </c>
      <c r="B9" s="4" t="s">
        <v>90</v>
      </c>
      <c r="C9" s="18">
        <v>222.02</v>
      </c>
      <c r="D9" s="4" t="s">
        <v>87</v>
      </c>
    </row>
    <row r="10" spans="1:4" x14ac:dyDescent="0.25">
      <c r="A10" s="15" t="s">
        <v>91</v>
      </c>
      <c r="B10" s="4" t="s">
        <v>92</v>
      </c>
      <c r="C10" s="18">
        <v>1679.6</v>
      </c>
      <c r="D10" s="4" t="s">
        <v>87</v>
      </c>
    </row>
    <row r="11" spans="1:4" x14ac:dyDescent="0.25">
      <c r="A11" s="15" t="s">
        <v>86</v>
      </c>
      <c r="B11" s="4" t="s">
        <v>89</v>
      </c>
      <c r="C11" s="18">
        <f>SUM(C6:C10)</f>
        <v>2621.62</v>
      </c>
      <c r="D11" s="4" t="s">
        <v>87</v>
      </c>
    </row>
    <row r="12" spans="1:4" s="3" customFormat="1" x14ac:dyDescent="0.25">
      <c r="A12" s="15" t="s">
        <v>85</v>
      </c>
      <c r="B12" s="4" t="s">
        <v>25</v>
      </c>
      <c r="C12" s="4">
        <f>$C$11-0.5*$C$9</f>
        <v>2510.6099999999997</v>
      </c>
      <c r="D12" s="4" t="s">
        <v>87</v>
      </c>
    </row>
    <row r="13" spans="1:4" x14ac:dyDescent="0.25">
      <c r="A13" s="15" t="s">
        <v>146</v>
      </c>
      <c r="B13" s="4" t="s">
        <v>26</v>
      </c>
      <c r="C13" s="18">
        <f>1.5*2.5</f>
        <v>3.75</v>
      </c>
      <c r="D13" s="4"/>
    </row>
    <row r="15" spans="1:4" x14ac:dyDescent="0.25">
      <c r="A15" s="17" t="s">
        <v>28</v>
      </c>
      <c r="B15" s="17"/>
      <c r="C15" s="17" t="s">
        <v>203</v>
      </c>
      <c r="D15" s="17" t="s">
        <v>204</v>
      </c>
    </row>
    <row r="16" spans="1:4" x14ac:dyDescent="0.25">
      <c r="A16" s="4" t="s">
        <v>93</v>
      </c>
      <c r="B16" s="4" t="s">
        <v>39</v>
      </c>
      <c r="C16" s="18">
        <v>174</v>
      </c>
      <c r="D16" s="4" t="s">
        <v>94</v>
      </c>
    </row>
    <row r="17" spans="1:4" x14ac:dyDescent="0.25">
      <c r="A17" s="4" t="s">
        <v>95</v>
      </c>
      <c r="B17" s="4" t="s">
        <v>44</v>
      </c>
      <c r="C17" s="18">
        <v>7.32</v>
      </c>
      <c r="D17" s="4"/>
    </row>
    <row r="18" spans="1:4" x14ac:dyDescent="0.25">
      <c r="A18" s="4" t="s">
        <v>96</v>
      </c>
      <c r="B18" s="4" t="s">
        <v>27</v>
      </c>
      <c r="C18" s="18">
        <v>0.12</v>
      </c>
      <c r="D18" s="4"/>
    </row>
    <row r="19" spans="1:4" x14ac:dyDescent="0.25">
      <c r="A19" s="4" t="s">
        <v>97</v>
      </c>
      <c r="B19" s="4" t="s">
        <v>47</v>
      </c>
      <c r="C19" s="18">
        <v>0.8</v>
      </c>
      <c r="D19" s="4"/>
    </row>
    <row r="20" spans="1:4" x14ac:dyDescent="0.25">
      <c r="A20" s="4" t="s">
        <v>98</v>
      </c>
      <c r="B20" s="4" t="s">
        <v>42</v>
      </c>
      <c r="C20" s="18">
        <v>0</v>
      </c>
      <c r="D20" s="4" t="s">
        <v>99</v>
      </c>
    </row>
    <row r="21" spans="1:4" x14ac:dyDescent="0.25">
      <c r="A21" s="19" t="s">
        <v>136</v>
      </c>
      <c r="B21" s="4" t="s">
        <v>137</v>
      </c>
      <c r="C21" s="18">
        <v>36.1</v>
      </c>
      <c r="D21" s="4" t="s">
        <v>107</v>
      </c>
    </row>
    <row r="22" spans="1:4" ht="45" x14ac:dyDescent="0.25">
      <c r="A22" s="19" t="s">
        <v>100</v>
      </c>
      <c r="B22" s="4" t="s">
        <v>29</v>
      </c>
      <c r="C22" s="18">
        <v>8</v>
      </c>
      <c r="D22" s="4" t="s">
        <v>94</v>
      </c>
    </row>
    <row r="23" spans="1:4" ht="30" x14ac:dyDescent="0.25">
      <c r="A23" s="19" t="s">
        <v>101</v>
      </c>
      <c r="B23" s="4" t="s">
        <v>30</v>
      </c>
      <c r="C23" s="18">
        <v>1</v>
      </c>
      <c r="D23" s="4"/>
    </row>
    <row r="24" spans="1:4" ht="30" x14ac:dyDescent="0.25">
      <c r="A24" s="19" t="s">
        <v>102</v>
      </c>
      <c r="B24" s="4" t="s">
        <v>31</v>
      </c>
      <c r="C24" s="18">
        <v>1</v>
      </c>
      <c r="D24" s="4"/>
    </row>
    <row r="25" spans="1:4" s="3" customFormat="1" ht="30" x14ac:dyDescent="0.25">
      <c r="A25" s="19" t="s">
        <v>165</v>
      </c>
      <c r="B25" s="4" t="s">
        <v>33</v>
      </c>
      <c r="C25" s="18">
        <v>1</v>
      </c>
      <c r="D25" s="4"/>
    </row>
    <row r="26" spans="1:4" x14ac:dyDescent="0.25">
      <c r="A26" s="19" t="s">
        <v>103</v>
      </c>
      <c r="B26" s="4" t="s">
        <v>34</v>
      </c>
      <c r="C26" s="18">
        <v>22.5</v>
      </c>
      <c r="D26" s="4" t="s">
        <v>104</v>
      </c>
    </row>
    <row r="27" spans="1:4" x14ac:dyDescent="0.25">
      <c r="A27" s="19"/>
      <c r="B27" s="4"/>
      <c r="C27" s="4"/>
      <c r="D27" s="4"/>
    </row>
    <row r="28" spans="1:4" x14ac:dyDescent="0.25">
      <c r="A28" s="17" t="s">
        <v>32</v>
      </c>
      <c r="B28" s="17"/>
      <c r="C28" s="17" t="s">
        <v>203</v>
      </c>
      <c r="D28" s="17" t="s">
        <v>204</v>
      </c>
    </row>
    <row r="29" spans="1:4" ht="30" x14ac:dyDescent="0.25">
      <c r="A29" s="19" t="s">
        <v>105</v>
      </c>
      <c r="B29" s="4" t="s">
        <v>35</v>
      </c>
      <c r="C29" s="18">
        <v>1</v>
      </c>
      <c r="D29" s="4"/>
    </row>
    <row r="30" spans="1:4" x14ac:dyDescent="0.25">
      <c r="A30" s="19" t="s">
        <v>106</v>
      </c>
      <c r="B30" s="4" t="s">
        <v>36</v>
      </c>
      <c r="C30" s="18">
        <v>2</v>
      </c>
      <c r="D30" s="4" t="s">
        <v>107</v>
      </c>
    </row>
    <row r="31" spans="1:4" x14ac:dyDescent="0.25">
      <c r="A31" s="19" t="s">
        <v>108</v>
      </c>
      <c r="B31" s="4" t="s">
        <v>37</v>
      </c>
      <c r="C31" s="18">
        <v>11.22</v>
      </c>
      <c r="D31" s="4" t="s">
        <v>107</v>
      </c>
    </row>
    <row r="32" spans="1:4" x14ac:dyDescent="0.25">
      <c r="A32" s="19" t="s">
        <v>109</v>
      </c>
      <c r="B32" s="4" t="s">
        <v>38</v>
      </c>
      <c r="C32" s="18">
        <v>21.56</v>
      </c>
      <c r="D32" s="4" t="s">
        <v>94</v>
      </c>
    </row>
    <row r="33" spans="1:4" x14ac:dyDescent="0.25">
      <c r="A33" s="19" t="s">
        <v>110</v>
      </c>
      <c r="B33" s="4" t="s">
        <v>50</v>
      </c>
      <c r="C33" s="18">
        <v>14.96</v>
      </c>
      <c r="D33" s="4" t="s">
        <v>107</v>
      </c>
    </row>
    <row r="34" spans="1:4" x14ac:dyDescent="0.25">
      <c r="A34" s="19" t="s">
        <v>111</v>
      </c>
      <c r="B34" s="4" t="s">
        <v>40</v>
      </c>
      <c r="C34" s="4">
        <f>0.3*$C$33</f>
        <v>4.4880000000000004</v>
      </c>
      <c r="D34" s="4"/>
    </row>
    <row r="35" spans="1:4" x14ac:dyDescent="0.25">
      <c r="A35" s="19" t="s">
        <v>112</v>
      </c>
      <c r="B35" s="4" t="s">
        <v>41</v>
      </c>
      <c r="C35" s="18">
        <v>0</v>
      </c>
      <c r="D35" s="4" t="s">
        <v>99</v>
      </c>
    </row>
    <row r="36" spans="1:4" x14ac:dyDescent="0.25">
      <c r="A36" s="19" t="s">
        <v>113</v>
      </c>
      <c r="B36" s="4" t="s">
        <v>43</v>
      </c>
      <c r="C36" s="18">
        <v>3.5</v>
      </c>
      <c r="D36" s="4"/>
    </row>
    <row r="37" spans="1:4" x14ac:dyDescent="0.25">
      <c r="A37" s="19" t="s">
        <v>114</v>
      </c>
      <c r="B37" s="4" t="s">
        <v>46</v>
      </c>
      <c r="C37" s="18">
        <v>6</v>
      </c>
      <c r="D37" s="4" t="s">
        <v>94</v>
      </c>
    </row>
    <row r="38" spans="1:4" s="3" customFormat="1" x14ac:dyDescent="0.25">
      <c r="A38" s="19" t="s">
        <v>116</v>
      </c>
      <c r="B38" s="4" t="s">
        <v>45</v>
      </c>
      <c r="C38" s="18">
        <v>0.1</v>
      </c>
      <c r="D38" s="4"/>
    </row>
    <row r="39" spans="1:4" x14ac:dyDescent="0.25">
      <c r="A39" s="19" t="s">
        <v>115</v>
      </c>
      <c r="B39" s="4" t="s">
        <v>48</v>
      </c>
      <c r="C39" s="18">
        <v>0.8</v>
      </c>
      <c r="D39" s="4"/>
    </row>
    <row r="40" spans="1:4" x14ac:dyDescent="0.25">
      <c r="A40" s="4"/>
      <c r="B40" s="4"/>
      <c r="C40" s="4"/>
      <c r="D40" s="4"/>
    </row>
    <row r="41" spans="1:4" x14ac:dyDescent="0.25">
      <c r="A41" s="17" t="s">
        <v>49</v>
      </c>
      <c r="B41" s="17"/>
      <c r="C41" s="17" t="s">
        <v>203</v>
      </c>
      <c r="D41" s="17" t="s">
        <v>204</v>
      </c>
    </row>
    <row r="42" spans="1:4" ht="30" x14ac:dyDescent="0.25">
      <c r="A42" s="19" t="s">
        <v>118</v>
      </c>
      <c r="B42" s="4" t="s">
        <v>117</v>
      </c>
      <c r="C42" s="18">
        <v>0</v>
      </c>
      <c r="D42" s="4"/>
    </row>
    <row r="43" spans="1:4" x14ac:dyDescent="0.25">
      <c r="A43" s="19" t="s">
        <v>119</v>
      </c>
      <c r="B43" s="4" t="s">
        <v>51</v>
      </c>
      <c r="C43" s="18">
        <v>14.86</v>
      </c>
      <c r="D43" s="4" t="s">
        <v>107</v>
      </c>
    </row>
    <row r="44" spans="1:4" x14ac:dyDescent="0.25">
      <c r="A44" s="19" t="s">
        <v>120</v>
      </c>
      <c r="B44" s="4" t="s">
        <v>52</v>
      </c>
      <c r="C44" s="18">
        <v>11.24</v>
      </c>
      <c r="D44" s="4" t="s">
        <v>94</v>
      </c>
    </row>
    <row r="45" spans="1:4" x14ac:dyDescent="0.25">
      <c r="A45" s="19" t="s">
        <v>121</v>
      </c>
      <c r="B45" s="4" t="s">
        <v>53</v>
      </c>
      <c r="C45" s="18">
        <v>0</v>
      </c>
      <c r="D45" s="4" t="s">
        <v>99</v>
      </c>
    </row>
    <row r="46" spans="1:4" x14ac:dyDescent="0.25">
      <c r="A46" s="19" t="s">
        <v>122</v>
      </c>
      <c r="B46" s="4" t="s">
        <v>54</v>
      </c>
      <c r="C46" s="18">
        <v>1.6</v>
      </c>
      <c r="D46" s="4"/>
    </row>
    <row r="47" spans="1:4" x14ac:dyDescent="0.25">
      <c r="A47" s="19" t="s">
        <v>123</v>
      </c>
      <c r="B47" s="4" t="s">
        <v>55</v>
      </c>
      <c r="C47" s="18">
        <v>0.1</v>
      </c>
      <c r="D47" s="4"/>
    </row>
    <row r="48" spans="1:4" ht="30" x14ac:dyDescent="0.25">
      <c r="A48" s="19" t="s">
        <v>124</v>
      </c>
      <c r="B48" s="4" t="s">
        <v>56</v>
      </c>
      <c r="C48" s="18">
        <v>1</v>
      </c>
      <c r="D48" s="4"/>
    </row>
    <row r="49" spans="1:4" x14ac:dyDescent="0.25">
      <c r="A49" s="19" t="s">
        <v>125</v>
      </c>
      <c r="B49" s="4" t="s">
        <v>57</v>
      </c>
      <c r="C49" s="18">
        <v>0.3</v>
      </c>
      <c r="D49" s="4"/>
    </row>
    <row r="50" spans="1:4" x14ac:dyDescent="0.25">
      <c r="A50" s="19" t="s">
        <v>126</v>
      </c>
      <c r="B50" s="4" t="s">
        <v>58</v>
      </c>
      <c r="C50" s="18">
        <f>0.25*C44</f>
        <v>2.81</v>
      </c>
      <c r="D50" s="4" t="s">
        <v>94</v>
      </c>
    </row>
    <row r="51" spans="1:4" s="3" customFormat="1" x14ac:dyDescent="0.25">
      <c r="A51" s="19" t="s">
        <v>127</v>
      </c>
      <c r="B51" s="4" t="s">
        <v>59</v>
      </c>
      <c r="C51" s="18">
        <v>0.33</v>
      </c>
      <c r="D51" s="4"/>
    </row>
    <row r="52" spans="1:4" x14ac:dyDescent="0.25">
      <c r="A52" s="19" t="s">
        <v>167</v>
      </c>
      <c r="B52" s="4" t="s">
        <v>166</v>
      </c>
      <c r="C52" s="4">
        <f>$C$43</f>
        <v>14.86</v>
      </c>
      <c r="D52" s="4"/>
    </row>
    <row r="53" spans="1:4" x14ac:dyDescent="0.25">
      <c r="A53" s="19"/>
      <c r="B53" s="4"/>
      <c r="C53" s="4"/>
      <c r="D53" s="4"/>
    </row>
    <row r="54" spans="1:4" x14ac:dyDescent="0.25">
      <c r="A54" s="17" t="s">
        <v>60</v>
      </c>
      <c r="B54" s="17"/>
      <c r="C54" s="17" t="s">
        <v>203</v>
      </c>
      <c r="D54" s="17" t="s">
        <v>204</v>
      </c>
    </row>
    <row r="55" spans="1:4" ht="90" x14ac:dyDescent="0.25">
      <c r="A55" s="19" t="s">
        <v>129</v>
      </c>
      <c r="B55" s="4" t="s">
        <v>61</v>
      </c>
      <c r="C55" s="18">
        <v>1</v>
      </c>
      <c r="D55" s="4"/>
    </row>
    <row r="56" spans="1:4" ht="30" x14ac:dyDescent="0.25">
      <c r="A56" s="19" t="s">
        <v>130</v>
      </c>
      <c r="B56" s="4" t="s">
        <v>62</v>
      </c>
      <c r="C56" s="18">
        <v>1.1200000000000001</v>
      </c>
      <c r="D56" s="4"/>
    </row>
    <row r="57" spans="1:4" ht="30" x14ac:dyDescent="0.25">
      <c r="A57" s="19" t="s">
        <v>131</v>
      </c>
      <c r="B57" s="4" t="s">
        <v>63</v>
      </c>
      <c r="C57" s="18">
        <v>27.2</v>
      </c>
      <c r="D57" s="4" t="s">
        <v>107</v>
      </c>
    </row>
    <row r="58" spans="1:4" ht="30" x14ac:dyDescent="0.25">
      <c r="A58" s="19" t="s">
        <v>133</v>
      </c>
      <c r="B58" s="4" t="s">
        <v>132</v>
      </c>
      <c r="C58" s="18">
        <v>27.2</v>
      </c>
      <c r="D58" s="4" t="s">
        <v>107</v>
      </c>
    </row>
    <row r="59" spans="1:4" x14ac:dyDescent="0.25">
      <c r="A59" s="19" t="s">
        <v>134</v>
      </c>
      <c r="B59" s="4" t="s">
        <v>64</v>
      </c>
      <c r="C59" s="18">
        <v>657</v>
      </c>
      <c r="D59" s="4" t="s">
        <v>94</v>
      </c>
    </row>
    <row r="60" spans="1:4" x14ac:dyDescent="0.25">
      <c r="A60" s="19" t="s">
        <v>138</v>
      </c>
      <c r="B60" s="4" t="s">
        <v>69</v>
      </c>
      <c r="C60" s="18">
        <v>4.5</v>
      </c>
      <c r="D60" s="4" t="s">
        <v>107</v>
      </c>
    </row>
    <row r="61" spans="1:4" x14ac:dyDescent="0.25">
      <c r="A61" s="19" t="s">
        <v>139</v>
      </c>
      <c r="B61" s="4" t="s">
        <v>68</v>
      </c>
      <c r="C61" s="18">
        <v>4.5</v>
      </c>
      <c r="D61" s="4" t="s">
        <v>107</v>
      </c>
    </row>
    <row r="62" spans="1:4" x14ac:dyDescent="0.25">
      <c r="A62" s="19" t="s">
        <v>209</v>
      </c>
      <c r="B62" s="4" t="s">
        <v>66</v>
      </c>
      <c r="C62" s="4">
        <f>$C$58/$C$60</f>
        <v>6.0444444444444443</v>
      </c>
      <c r="D62" s="4"/>
    </row>
    <row r="63" spans="1:4" x14ac:dyDescent="0.25">
      <c r="A63" s="19" t="s">
        <v>135</v>
      </c>
      <c r="B63" s="4" t="s">
        <v>65</v>
      </c>
      <c r="C63" s="4">
        <f>0.75*((1+2*$C$19)/(1+$C$19))*($C$21/$C$57)*(TAN($C$20*PI()/180))</f>
        <v>0</v>
      </c>
      <c r="D63" s="4"/>
    </row>
    <row r="64" spans="1:4" ht="30" x14ac:dyDescent="0.25">
      <c r="A64" s="19" t="s">
        <v>140</v>
      </c>
      <c r="B64" s="4" t="s">
        <v>67</v>
      </c>
      <c r="C64" s="18">
        <v>1</v>
      </c>
      <c r="D64" s="4"/>
    </row>
    <row r="65" spans="1:4" x14ac:dyDescent="0.25">
      <c r="A65" s="19" t="s">
        <v>141</v>
      </c>
      <c r="B65" s="4" t="s">
        <v>142</v>
      </c>
      <c r="C65" s="18">
        <v>0</v>
      </c>
      <c r="D65" s="4" t="s">
        <v>143</v>
      </c>
    </row>
    <row r="66" spans="1:4" x14ac:dyDescent="0.25">
      <c r="A66" s="19" t="s">
        <v>144</v>
      </c>
      <c r="B66" s="4" t="s">
        <v>70</v>
      </c>
      <c r="C66" s="4">
        <f>11.9*($C$65*(8*144))^0.271</f>
        <v>0</v>
      </c>
      <c r="D66" s="4" t="s">
        <v>145</v>
      </c>
    </row>
    <row r="67" spans="1:4" x14ac:dyDescent="0.25">
      <c r="A67" s="19"/>
      <c r="B67" s="4"/>
      <c r="C67" s="4"/>
      <c r="D67" s="4"/>
    </row>
    <row r="68" spans="1:4" x14ac:dyDescent="0.25">
      <c r="A68" s="17" t="s">
        <v>71</v>
      </c>
      <c r="B68" s="17"/>
      <c r="C68" s="17" t="s">
        <v>203</v>
      </c>
      <c r="D68" s="17" t="s">
        <v>204</v>
      </c>
    </row>
    <row r="69" spans="1:4" x14ac:dyDescent="0.25">
      <c r="A69" s="19" t="s">
        <v>147</v>
      </c>
      <c r="B69" s="4" t="s">
        <v>84</v>
      </c>
      <c r="C69" s="18">
        <v>0</v>
      </c>
      <c r="D69" s="4"/>
    </row>
    <row r="70" spans="1:4" x14ac:dyDescent="0.25">
      <c r="A70" s="19" t="s">
        <v>148</v>
      </c>
      <c r="B70" s="4" t="s">
        <v>191</v>
      </c>
      <c r="C70" s="18">
        <v>0</v>
      </c>
      <c r="D70" s="4" t="s">
        <v>145</v>
      </c>
    </row>
    <row r="71" spans="1:4" x14ac:dyDescent="0.25">
      <c r="A71" s="19" t="s">
        <v>149</v>
      </c>
      <c r="B71" s="4" t="s">
        <v>81</v>
      </c>
      <c r="C71" s="18">
        <v>0</v>
      </c>
      <c r="D71" s="4" t="s">
        <v>87</v>
      </c>
    </row>
    <row r="72" spans="1:4" x14ac:dyDescent="0.25">
      <c r="A72" s="4"/>
      <c r="B72" s="4"/>
      <c r="C72" s="4"/>
      <c r="D72" s="4"/>
    </row>
    <row r="73" spans="1:4" x14ac:dyDescent="0.25">
      <c r="A73" s="17" t="s">
        <v>83</v>
      </c>
      <c r="B73" s="17"/>
      <c r="C73" s="17" t="s">
        <v>203</v>
      </c>
      <c r="D73" s="17" t="s">
        <v>204</v>
      </c>
    </row>
    <row r="74" spans="1:4" ht="30" x14ac:dyDescent="0.25">
      <c r="A74" s="19" t="s">
        <v>150</v>
      </c>
      <c r="B74" s="4" t="s">
        <v>72</v>
      </c>
      <c r="C74" s="18">
        <v>1.0169999999999999</v>
      </c>
      <c r="D74" s="4"/>
    </row>
    <row r="75" spans="1:4" x14ac:dyDescent="0.25">
      <c r="A75" s="19" t="s">
        <v>236</v>
      </c>
      <c r="B75" s="4" t="s">
        <v>73</v>
      </c>
      <c r="C75" s="18">
        <v>0</v>
      </c>
      <c r="D75" s="4" t="s">
        <v>107</v>
      </c>
    </row>
    <row r="76" spans="1:4" x14ac:dyDescent="0.25">
      <c r="A76" s="19" t="s">
        <v>237</v>
      </c>
      <c r="B76" s="4" t="s">
        <v>74</v>
      </c>
      <c r="C76" s="18">
        <v>0</v>
      </c>
      <c r="D76" s="4" t="s">
        <v>107</v>
      </c>
    </row>
    <row r="77" spans="1:4" x14ac:dyDescent="0.25">
      <c r="A77" s="19" t="s">
        <v>238</v>
      </c>
      <c r="B77" s="4" t="s">
        <v>75</v>
      </c>
      <c r="C77" s="18">
        <v>0</v>
      </c>
      <c r="D77" s="4" t="s">
        <v>94</v>
      </c>
    </row>
    <row r="78" spans="1:4" ht="30" x14ac:dyDescent="0.25">
      <c r="A78" s="19" t="s">
        <v>151</v>
      </c>
      <c r="B78" s="4" t="s">
        <v>76</v>
      </c>
      <c r="C78" s="18">
        <v>1</v>
      </c>
      <c r="D78" s="4"/>
    </row>
    <row r="79" spans="1:4" x14ac:dyDescent="0.25">
      <c r="A79" s="19" t="s">
        <v>153</v>
      </c>
      <c r="B79" s="4" t="s">
        <v>79</v>
      </c>
      <c r="C79" s="18">
        <v>0</v>
      </c>
      <c r="D79" s="4" t="s">
        <v>107</v>
      </c>
    </row>
    <row r="80" spans="1:4" x14ac:dyDescent="0.25">
      <c r="A80" s="19" t="s">
        <v>154</v>
      </c>
      <c r="B80" s="4" t="s">
        <v>77</v>
      </c>
      <c r="C80" s="18">
        <v>0</v>
      </c>
      <c r="D80" s="4" t="s">
        <v>107</v>
      </c>
    </row>
    <row r="81" spans="1:4" x14ac:dyDescent="0.25">
      <c r="A81" s="19" t="s">
        <v>152</v>
      </c>
      <c r="B81" s="4" t="s">
        <v>78</v>
      </c>
      <c r="C81" s="18">
        <v>0</v>
      </c>
      <c r="D81" s="4"/>
    </row>
    <row r="82" spans="1:4" x14ac:dyDescent="0.25">
      <c r="A82" s="19" t="s">
        <v>155</v>
      </c>
      <c r="B82" s="4" t="s">
        <v>80</v>
      </c>
      <c r="C82" s="18">
        <v>0</v>
      </c>
      <c r="D82" s="4" t="s">
        <v>107</v>
      </c>
    </row>
    <row r="83" spans="1:4" ht="30" x14ac:dyDescent="0.25">
      <c r="A83" s="19" t="s">
        <v>185</v>
      </c>
      <c r="B83" s="4" t="s">
        <v>186</v>
      </c>
      <c r="C83" s="18">
        <v>1</v>
      </c>
      <c r="D83" s="4"/>
    </row>
    <row r="84" spans="1:4" x14ac:dyDescent="0.25">
      <c r="A84" s="19" t="s">
        <v>187</v>
      </c>
      <c r="B84" s="4" t="s">
        <v>184</v>
      </c>
      <c r="C84" s="4">
        <f>2.331*$C$71^0.901*$C$83</f>
        <v>0</v>
      </c>
      <c r="D84" s="4"/>
    </row>
    <row r="85" spans="1:4" x14ac:dyDescent="0.25">
      <c r="A85" s="4"/>
      <c r="B85" s="4"/>
      <c r="C85" s="4"/>
      <c r="D85" s="4"/>
    </row>
    <row r="86" spans="1:4" x14ac:dyDescent="0.25">
      <c r="A86" s="17" t="s">
        <v>82</v>
      </c>
      <c r="B86" s="17"/>
      <c r="C86" s="17" t="s">
        <v>203</v>
      </c>
      <c r="D86" s="17" t="s">
        <v>204</v>
      </c>
    </row>
    <row r="87" spans="1:4" x14ac:dyDescent="0.25">
      <c r="A87" s="20" t="s">
        <v>156</v>
      </c>
      <c r="B87" s="4" t="s">
        <v>190</v>
      </c>
      <c r="C87" s="18">
        <v>315</v>
      </c>
      <c r="D87" s="4" t="s">
        <v>145</v>
      </c>
    </row>
    <row r="88" spans="1:4" x14ac:dyDescent="0.25">
      <c r="A88" s="20" t="s">
        <v>157</v>
      </c>
      <c r="B88" s="4" t="s">
        <v>189</v>
      </c>
      <c r="C88" s="18">
        <v>1</v>
      </c>
      <c r="D88" s="4"/>
    </row>
    <row r="89" spans="1:4" x14ac:dyDescent="0.25">
      <c r="A89" s="4"/>
      <c r="B89" s="4"/>
      <c r="C89" s="4"/>
      <c r="D89" s="4"/>
    </row>
    <row r="90" spans="1:4" x14ac:dyDescent="0.25">
      <c r="A90" s="17" t="s">
        <v>159</v>
      </c>
      <c r="B90" s="17"/>
      <c r="C90" s="17" t="s">
        <v>203</v>
      </c>
      <c r="D90" s="17" t="s">
        <v>204</v>
      </c>
    </row>
    <row r="91" spans="1:4" x14ac:dyDescent="0.25">
      <c r="A91" s="4" t="s">
        <v>160</v>
      </c>
      <c r="B91" s="4"/>
      <c r="C91" s="18" t="s">
        <v>162</v>
      </c>
      <c r="D91" s="4"/>
    </row>
    <row r="93" spans="1:4" x14ac:dyDescent="0.25">
      <c r="A93" s="17" t="s">
        <v>239</v>
      </c>
      <c r="B93" s="37"/>
      <c r="C93" s="37" t="s">
        <v>203</v>
      </c>
      <c r="D93" s="38"/>
    </row>
    <row r="94" spans="1:4" x14ac:dyDescent="0.25">
      <c r="A94" s="4" t="s">
        <v>240</v>
      </c>
      <c r="B94" s="25" t="s">
        <v>239</v>
      </c>
      <c r="C94" s="36" t="s">
        <v>158</v>
      </c>
      <c r="D94" s="18"/>
    </row>
  </sheetData>
  <mergeCells count="2">
    <mergeCell ref="A3:D3"/>
    <mergeCell ref="A2:D2"/>
  </mergeCells>
  <dataValidations count="13">
    <dataValidation type="list" allowBlank="1" showInputMessage="1" showErrorMessage="1" sqref="C23" xr:uid="{F06E2526-8E94-41E4-8716-BE40F4FB565C}">
      <formula1>K_dw</formula1>
    </dataValidation>
    <dataValidation type="list" allowBlank="1" showInputMessage="1" showErrorMessage="1" sqref="C24" xr:uid="{EBEC00C1-09C6-48DC-B626-E4498B437D6A}">
      <formula1>K_vs</formula1>
    </dataValidation>
    <dataValidation type="list" allowBlank="1" showInputMessage="1" showErrorMessage="1" sqref="C29" xr:uid="{8A75A0A6-401B-423B-BC56-E0E5F7AD65E9}">
      <formula1>K_uht</formula1>
    </dataValidation>
    <dataValidation type="list" allowBlank="1" showInputMessage="1" showErrorMessage="1" sqref="C42" xr:uid="{7900AFDE-3C6C-4253-863C-5BF5D5366C16}">
      <formula1>Ht_Hv</formula1>
    </dataValidation>
    <dataValidation type="list" allowBlank="1" showInputMessage="1" showErrorMessage="1" sqref="C48" xr:uid="{0155005E-3265-4299-B2C6-D6241AE7C04C}">
      <formula1>K_rht</formula1>
    </dataValidation>
    <dataValidation type="list" allowBlank="1" showInputMessage="1" showErrorMessage="1" sqref="C55" xr:uid="{C83BAC32-E446-4E93-8519-E82109329C5B}">
      <formula1>K_door</formula1>
    </dataValidation>
    <dataValidation type="list" allowBlank="1" showInputMessage="1" showErrorMessage="1" sqref="C56" xr:uid="{4D1F8DAF-3540-40AB-A4E6-873FEB7DDF70}">
      <formula1>K_Lg</formula1>
    </dataValidation>
    <dataValidation type="list" allowBlank="1" showInputMessage="1" showErrorMessage="1" sqref="C64" xr:uid="{DA239A69-CB58-4E64-9C77-ACECB0D91E75}">
      <formula1>K_dwf</formula1>
    </dataValidation>
    <dataValidation type="list" allowBlank="1" showInputMessage="1" showErrorMessage="1" sqref="C74" xr:uid="{C29A746A-A592-43E4-8E39-555BE9523725}">
      <formula1>K_ng</formula1>
    </dataValidation>
    <dataValidation type="list" allowBlank="1" showInputMessage="1" showErrorMessage="1" sqref="C78" xr:uid="{B6EC455F-5DD4-4210-8E34-FDFF87B6D419}">
      <formula1>K_vg</formula1>
    </dataValidation>
    <dataValidation type="list" allowBlank="1" showInputMessage="1" showErrorMessage="1" sqref="C83" xr:uid="{C7F56694-2C30-4750-9E79-BC57E43F4497}">
      <formula1>K_tr</formula1>
    </dataValidation>
    <dataValidation type="list" allowBlank="1" showInputMessage="1" showErrorMessage="1" sqref="C91" xr:uid="{551BF49D-C6D9-463A-ABFC-E89833E75541}">
      <formula1>LG</formula1>
    </dataValidation>
    <dataValidation type="list" allowBlank="1" showInputMessage="1" showErrorMessage="1" sqref="C94" xr:uid="{310556CD-4FEF-584A-94AE-FF01E9200ED1}">
      <formula1>CATAGORY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755D-5E25-4759-99F2-3F50CFB639A6}">
  <dimension ref="A1:F92"/>
  <sheetViews>
    <sheetView topLeftCell="A44" zoomScale="115" zoomScaleNormal="110" workbookViewId="0">
      <selection activeCell="C46" sqref="C46"/>
    </sheetView>
  </sheetViews>
  <sheetFormatPr defaultColWidth="8.85546875" defaultRowHeight="15" x14ac:dyDescent="0.25"/>
  <cols>
    <col min="1" max="1" width="43.85546875" customWidth="1"/>
    <col min="2" max="2" width="27.140625" style="30" customWidth="1"/>
    <col min="3" max="3" width="34.42578125" style="30" customWidth="1"/>
    <col min="4" max="4" width="18.7109375" customWidth="1"/>
    <col min="5" max="5" width="24" customWidth="1"/>
    <col min="6" max="6" width="22.42578125" customWidth="1"/>
  </cols>
  <sheetData>
    <row r="1" spans="1:4" ht="23.25" x14ac:dyDescent="0.35">
      <c r="A1" s="54" t="s">
        <v>201</v>
      </c>
      <c r="B1" s="54"/>
      <c r="C1" s="54"/>
      <c r="D1" s="54"/>
    </row>
    <row r="2" spans="1:4" x14ac:dyDescent="0.25">
      <c r="A2" s="40" t="s">
        <v>206</v>
      </c>
      <c r="B2" s="40"/>
      <c r="C2" s="40"/>
      <c r="D2" s="40"/>
    </row>
    <row r="3" spans="1:4" x14ac:dyDescent="0.25">
      <c r="A3" s="14" t="s">
        <v>235</v>
      </c>
      <c r="B3" s="29"/>
      <c r="C3" s="29"/>
      <c r="D3" s="31"/>
    </row>
    <row r="4" spans="1:4" x14ac:dyDescent="0.25">
      <c r="A4" s="57" t="s">
        <v>158</v>
      </c>
      <c r="B4" s="57"/>
      <c r="C4" s="57"/>
    </row>
    <row r="6" spans="1:4" ht="18.75" x14ac:dyDescent="0.3">
      <c r="A6" s="58" t="s">
        <v>5</v>
      </c>
      <c r="B6" s="58"/>
      <c r="C6" s="58"/>
    </row>
    <row r="7" spans="1:4" x14ac:dyDescent="0.25">
      <c r="A7" s="53" t="s">
        <v>196</v>
      </c>
      <c r="B7" s="53"/>
      <c r="C7" s="53"/>
    </row>
    <row r="8" spans="1:4" x14ac:dyDescent="0.25">
      <c r="A8" s="15" t="s">
        <v>86</v>
      </c>
      <c r="B8" s="16">
        <f>'Designer Inputs'!$C$11</f>
        <v>2621.62</v>
      </c>
      <c r="C8" s="25" t="s">
        <v>145</v>
      </c>
    </row>
    <row r="9" spans="1:4" x14ac:dyDescent="0.25">
      <c r="A9" s="15" t="s">
        <v>88</v>
      </c>
      <c r="B9" s="16">
        <f>'Designer Inputs'!$C$9</f>
        <v>222.02</v>
      </c>
      <c r="C9" s="25" t="s">
        <v>145</v>
      </c>
    </row>
    <row r="10" spans="1:4" x14ac:dyDescent="0.25">
      <c r="A10" s="15" t="s">
        <v>91</v>
      </c>
      <c r="B10" s="16">
        <f>'Designer Inputs'!$C$10</f>
        <v>1679.6</v>
      </c>
      <c r="C10" s="25" t="s">
        <v>145</v>
      </c>
    </row>
    <row r="11" spans="1:4" x14ac:dyDescent="0.25">
      <c r="A11" s="15" t="s">
        <v>85</v>
      </c>
      <c r="B11" s="16">
        <f>'Designer Inputs'!$C$12</f>
        <v>2510.6099999999997</v>
      </c>
      <c r="C11" s="25" t="s">
        <v>145</v>
      </c>
    </row>
    <row r="12" spans="1:4" x14ac:dyDescent="0.25">
      <c r="A12" s="15" t="s">
        <v>146</v>
      </c>
      <c r="B12" s="16">
        <f>'Designer Inputs'!$C$13</f>
        <v>3.75</v>
      </c>
      <c r="C12" s="25"/>
    </row>
    <row r="13" spans="1:4" x14ac:dyDescent="0.25">
      <c r="A13" s="3"/>
    </row>
    <row r="14" spans="1:4" x14ac:dyDescent="0.25">
      <c r="A14" s="4"/>
      <c r="B14" s="55" t="s">
        <v>164</v>
      </c>
      <c r="C14" s="56" t="s">
        <v>208</v>
      </c>
    </row>
    <row r="15" spans="1:4" x14ac:dyDescent="0.25">
      <c r="A15" s="4"/>
      <c r="B15" s="55"/>
      <c r="C15" s="55"/>
    </row>
    <row r="16" spans="1:4" x14ac:dyDescent="0.25">
      <c r="A16" s="5" t="s">
        <v>8</v>
      </c>
      <c r="B16" s="6"/>
      <c r="C16" s="6"/>
    </row>
    <row r="17" spans="1:3" x14ac:dyDescent="0.25">
      <c r="A17" s="7" t="s">
        <v>6</v>
      </c>
      <c r="B17" s="16" cm="1">
        <f t="array" ref="B17">_xlfn.IFS($A$4="Fighter",0.0103*'Designer Inputs'!$C$23*'Designer Inputs'!$C$24*('Designer Inputs'!$C$12*'Designer Inputs'!$C$13)^0.5*'Designer Inputs'!$C$16^0.622*'Designer Inputs'!$C$17^0.785*'Designer Inputs'!$C$18^-0.4*(1+'Designer Inputs'!$C$19)^0.05*(COS('Designer Inputs'!$C$20*PI()/180))^-1*'Designer Inputs'!$C$22^0.04,$A$4="Bomber/Large Jet Transport",0.0051*('Designer Inputs'!$C$12*'Designer Inputs'!$C$13)^0.557*'Designer Inputs'!$C$16^0.649*'Designer Inputs'!$C$17^0.5*'Designer Inputs'!$C$18^-0.4*(1+'Designer Inputs'!$C$19)^0.1*(COS('Designer Inputs'!$C$20*PI()/180))^-1*'Designer Inputs'!$C$22^0.1,$A$4="General Aviation/Prop Transport",0.036*'Designer Inputs'!$C$16^0.758*'Designer Inputs'!$C$25^0.0035*('Designer Inputs'!$C$17/((COS('Designer Inputs'!C20*PI()/180))^2))^0.6*'Designer Inputs'!$C$26^0.006*'Designer Inputs'!$C$18^0.04*((100*'Designer Inputs'!$C$18)/(COS('Designer Inputs'!$C$20*PI()/180)))^-0.3*('Designer Inputs'!$C$13*'Designer Inputs'!$C$12)^0.49)</f>
        <v>233.36655039144671</v>
      </c>
      <c r="C17" s="28">
        <v>27.277834060590585</v>
      </c>
    </row>
    <row r="18" spans="1:3" x14ac:dyDescent="0.25">
      <c r="A18" s="7" t="s">
        <v>3</v>
      </c>
      <c r="B18" s="16" cm="1">
        <f t="array" ref="B18">_xlfn.IFS($A$4="Fighter",3.316*(1+'Designer Inputs'!$C$30/'Designer Inputs'!$C$31)^-2*('Designer Inputs'!$C$12*'Designer Inputs'!$C$13/1000)^0.26*'Designer Inputs'!$C$32^0.806,$A$4="Bomber/Large Jet Transport",0.0379*'Designer Inputs'!$C$29*(1+'Designer Inputs'!$C$30/'Designer Inputs'!$C$31)^-0.25*'Designer Inputs'!$C$12^0.639*'Designer Inputs'!$C$13^0.1*'Designer Inputs'!$C$32^0.75*'Designer Inputs'!$C$33^-1*'Designer Inputs'!$C$34^0.704*(COS('Designer Inputs'!$C$35*PI()/180))^-1*'Designer Inputs'!$C$36^0.166*(1+'Designer Inputs'!$C$37/'Designer Inputs'!$C$32)^0.1,$A$4="General Aviation/Prop Transport",0.016*('Designer Inputs'!$C$13*'Designer Inputs'!$C$12)^0.414*'Designer Inputs'!$C$26^0.168*'Designer Inputs'!$C$32^0.896*(100*'Designer Inputs'!$C$38/COS('Designer Inputs'!$C$35*PI()/180))^-0.12*('Designer Inputs'!$C$36/((COS('Designer Inputs'!$C$35*PI()/180))^2))^0.043*'Designer Inputs'!$C$39^-0.02)</f>
        <v>15.021960436319898</v>
      </c>
      <c r="C18" s="28">
        <v>41.392220676135338</v>
      </c>
    </row>
    <row r="19" spans="1:3" x14ac:dyDescent="0.25">
      <c r="A19" s="7" t="s">
        <v>4</v>
      </c>
      <c r="B19" s="16" cm="1">
        <f t="array" ref="B19">_xlfn.IFS($A$4="Fighter",0.452*'Designer Inputs'!$C$48*(1+'Designer Inputs'!$C$42)^0.5*('Designer Inputs'!$C$12*'Designer Inputs'!$C$13)^0.488*'Designer Inputs'!$C$44^0.718*'Designer Inputs'!C49^0.341*'Designer Inputs'!$C$43^-1*(1+'Designer Inputs'!$C$50/'Designer Inputs'!$C$44)^0.348*'Designer Inputs'!$C$46^0.223*(1+'Designer Inputs'!$C$51)^0.25*(COS('Designer Inputs'!$C$45*PI()/180))^-0.323,$A$4="Bomber/Large Jet Transport",0.0026*(1+'Designer Inputs'!$C$42)^0.225*'Designer Inputs'!$C$12^0.556*'Designer Inputs'!$C$13^0.536*'Designer Inputs'!$C$43^-0.5*'Designer Inputs'!$C$44^0.5*'Designer Inputs'!$C$52^0.875*(COS('Designer Inputs'!$C$45*PI()/180))^-1*'Designer Inputs'!$C$46^0.35*'Designer Inputs'!$C$47^-0.5,$A$4="General Aviation/Prop Transport",0.073*(1+0.2*'Designer Inputs'!$C$42)*('Designer Inputs'!$C$13*'Designer Inputs'!$C$12)^0.376*'Designer Inputs'!$C$26^0.122*'Designer Inputs'!$C$44^0.873*(100*'Designer Inputs'!$C$47/COS('Designer Inputs'!$C$45*PI()/180))^-0.49*('Designer Inputs'!$C$46/((COS('Designer Inputs'!$C$45*PI()/180))^2))^0.357*'Designer Inputs'!$C$51^0.039)</f>
        <v>10.089130761310917</v>
      </c>
      <c r="C19" s="28">
        <v>40.848837663648538</v>
      </c>
    </row>
    <row r="20" spans="1:3" x14ac:dyDescent="0.25">
      <c r="A20" s="7" t="s">
        <v>7</v>
      </c>
      <c r="B20" s="16" cm="1">
        <f t="array" ref="B20">_xlfn.IFS($A$4="Fighter",0.499*'Designer Inputs'!$C$64*'Designer Inputs'!$C$12^0.35*'Designer Inputs'!$C$13^0.25*'Designer Inputs'!$C$57^0.5*'Designer Inputs'!$C$60^0.849*'Designer Inputs'!$C$61^0.685,$A$4="Bomber/Large Jet Transport",0.328*'Designer Inputs'!$C$55*'Designer Inputs'!$C$56*('Designer Inputs'!$C$12*'Designer Inputs'!$C$13)^0.5*'Designer Inputs'!$C$57^0.25*'Designer Inputs'!$C$59^0.302*(1+'Designer Inputs'!$C$63)^0.04*'Designer Inputs'!$C$62^0.1,$A$4="General Aviation/Prop Transport",0.052*'Designer Inputs'!$C$59^1.086*('Designer Inputs'!$C$13*'Designer Inputs'!$C$12)^0.177*'Designer Inputs'!$C$33^-0.051*'Designer Inputs'!$C$62^-0.072*'Designer Inputs'!$C$26^0.241+'Designer Inputs'!$C$66)</f>
        <v>488.58554367983464</v>
      </c>
      <c r="C20" s="28">
        <v>23.25</v>
      </c>
    </row>
    <row r="21" spans="1:3" x14ac:dyDescent="0.25">
      <c r="A21" s="8" t="s">
        <v>9</v>
      </c>
      <c r="B21" s="32"/>
      <c r="C21" s="32"/>
    </row>
    <row r="22" spans="1:3" x14ac:dyDescent="0.25">
      <c r="A22" s="7" t="s">
        <v>173</v>
      </c>
      <c r="B22" s="16">
        <f>SUM($B$23:$B$24)</f>
        <v>0</v>
      </c>
      <c r="C22" s="28">
        <v>35.960216729135936</v>
      </c>
    </row>
    <row r="23" spans="1:3" x14ac:dyDescent="0.25">
      <c r="A23" s="9" t="s">
        <v>172</v>
      </c>
      <c r="B23" s="16">
        <f>'Designer Inputs'!$C$71</f>
        <v>0</v>
      </c>
      <c r="C23" s="33"/>
    </row>
    <row r="24" spans="1:3" x14ac:dyDescent="0.25">
      <c r="A24" s="9" t="s">
        <v>179</v>
      </c>
      <c r="B24" s="16" cm="1">
        <f t="array" ref="B24">_xlfn.IFS($A$4="Fighter",0,$A$4="Bomber/Large Jet Transport",0.6724*'Designer Inputs'!$C$74*'Designer Inputs'!$C$75^0.1*'Designer Inputs'!$C$76^0.294*'Designer Inputs'!$C$13^0.119*'Designer Inputs'!$C$84^0.611*'Designer Inputs'!$C$77^0.224,$A$4="General Aviation/Prop Transport",0)</f>
        <v>0</v>
      </c>
      <c r="C24" s="33"/>
    </row>
    <row r="25" spans="1:3" x14ac:dyDescent="0.25">
      <c r="A25" s="7" t="s">
        <v>174</v>
      </c>
      <c r="B25" s="16">
        <f>IF('Designer Inputs'!$C$69&gt;1,$B$22,0)</f>
        <v>0</v>
      </c>
      <c r="C25" s="28"/>
    </row>
    <row r="26" spans="1:3" x14ac:dyDescent="0.25">
      <c r="A26" s="9" t="s">
        <v>178</v>
      </c>
      <c r="B26" s="16">
        <f>IF('Designer Inputs'!$C$69&gt;1,$B$23,0)</f>
        <v>0</v>
      </c>
      <c r="C26" s="33"/>
    </row>
    <row r="27" spans="1:3" x14ac:dyDescent="0.25">
      <c r="A27" s="9" t="s">
        <v>180</v>
      </c>
      <c r="B27" s="16">
        <f>IF('Designer Inputs'!$C$69&gt;1,$B$24,0)</f>
        <v>0</v>
      </c>
      <c r="C27" s="33"/>
    </row>
    <row r="28" spans="1:3" x14ac:dyDescent="0.25">
      <c r="A28" s="7" t="s">
        <v>175</v>
      </c>
      <c r="B28" s="16">
        <f>IF('Designer Inputs'!$C$69&gt;2,$B$22,0)</f>
        <v>0</v>
      </c>
      <c r="C28" s="28"/>
    </row>
    <row r="29" spans="1:3" x14ac:dyDescent="0.25">
      <c r="A29" s="9" t="s">
        <v>177</v>
      </c>
      <c r="B29" s="16">
        <f>IF('Designer Inputs'!$C$69&gt;2,$B$23,0)</f>
        <v>0</v>
      </c>
      <c r="C29" s="33"/>
    </row>
    <row r="30" spans="1:3" x14ac:dyDescent="0.25">
      <c r="A30" s="9" t="s">
        <v>181</v>
      </c>
      <c r="B30" s="16">
        <f>IF('Designer Inputs'!$C$69&gt;2,$B$24,0)</f>
        <v>0</v>
      </c>
      <c r="C30" s="33"/>
    </row>
    <row r="31" spans="1:3" x14ac:dyDescent="0.25">
      <c r="A31" s="7" t="s">
        <v>176</v>
      </c>
      <c r="B31" s="16">
        <f>IF('Designer Inputs'!$C$69&gt;3,$B$22,0)</f>
        <v>0</v>
      </c>
      <c r="C31" s="28"/>
    </row>
    <row r="32" spans="1:3" x14ac:dyDescent="0.25">
      <c r="A32" s="9" t="s">
        <v>188</v>
      </c>
      <c r="B32" s="16">
        <f>IF('Designer Inputs'!$C$69&gt;3,$B$23,0)</f>
        <v>0</v>
      </c>
      <c r="C32" s="33"/>
    </row>
    <row r="33" spans="1:3" x14ac:dyDescent="0.25">
      <c r="A33" s="9" t="s">
        <v>183</v>
      </c>
      <c r="B33" s="16">
        <f>IF('Designer Inputs'!$C$69&gt;3,$B$24,0)</f>
        <v>0</v>
      </c>
      <c r="C33" s="33"/>
    </row>
    <row r="34" spans="1:3" x14ac:dyDescent="0.25">
      <c r="A34" s="7" t="s">
        <v>10</v>
      </c>
      <c r="B34" s="16" cm="1">
        <f t="array" ref="B34">_xlfn.IFS($A$4="Fighter",0.013*'Designer Inputs'!$C$69^0.795*'Designer Inputs'!$C$70^0.579*'Designer Inputs'!$C$13,$A$4="Bomber/Large Jet Transport",0,$A$4="General Aviation/Prop Transport",0)</f>
        <v>0</v>
      </c>
      <c r="C34" s="28">
        <v>35.960216729135936</v>
      </c>
    </row>
    <row r="35" spans="1:3" x14ac:dyDescent="0.25">
      <c r="A35" s="7" t="s">
        <v>182</v>
      </c>
      <c r="B35" s="16" cm="1">
        <f t="array" ref="B35">_xlfn.IFS($A$4="Fighter",13.29*'Designer Inputs'!$C$78*'Designer Inputs'!$C$79^0.643*'Designer Inputs'!$C$81^0.182*'Designer Inputs'!$C$69^1.498*('Designer Inputs'!$C$80/'Designer Inputs'!$C$79)^-0.373*'Designer Inputs'!$C$82,$A$4="Bomber/Large Jet Transport",0,$A$4="General Aviation/Prop Transport",0)</f>
        <v>0</v>
      </c>
      <c r="C35" s="28">
        <v>23</v>
      </c>
    </row>
    <row r="36" spans="1:3" x14ac:dyDescent="0.25">
      <c r="A36" s="7"/>
      <c r="B36" s="16"/>
      <c r="C36" s="28"/>
    </row>
    <row r="37" spans="1:3" x14ac:dyDescent="0.25">
      <c r="A37" s="7" t="s">
        <v>168</v>
      </c>
      <c r="B37" s="16" cm="1">
        <f t="array" ref="B37">_xlfn.IFS($A$4="Fighter",0,$A$4="Bomber/Large Jet Transport",0,$A$4="General Aviation/Prop Transport",2.575*'Designer Inputs'!$C$87^0.922)</f>
        <v>517.86858186749191</v>
      </c>
      <c r="C37" s="28"/>
    </row>
    <row r="38" spans="1:3" x14ac:dyDescent="0.25">
      <c r="A38" s="7" t="s">
        <v>169</v>
      </c>
      <c r="B38" s="16">
        <f>IF('Designer Inputs'!$C$88&gt;1,'Group Weight Statement'!$B$37,0)</f>
        <v>0</v>
      </c>
      <c r="C38" s="28"/>
    </row>
    <row r="39" spans="1:3" x14ac:dyDescent="0.25">
      <c r="A39" s="7" t="s">
        <v>170</v>
      </c>
      <c r="B39" s="16">
        <f>IF('Designer Inputs'!$C$88&gt;2,'Group Weight Statement'!$B$37,0)</f>
        <v>0</v>
      </c>
      <c r="C39" s="28"/>
    </row>
    <row r="40" spans="1:3" x14ac:dyDescent="0.25">
      <c r="A40" s="7" t="s">
        <v>171</v>
      </c>
      <c r="B40" s="16">
        <f>IF('Designer Inputs'!$C$88&gt;3,'Group Weight Statement'!$B$37,0)</f>
        <v>0</v>
      </c>
      <c r="C40" s="28"/>
    </row>
    <row r="41" spans="1:3" x14ac:dyDescent="0.25">
      <c r="A41" s="7" t="s">
        <v>192</v>
      </c>
      <c r="B41" s="16">
        <f>IF('Designer Inputs'!$C$88&gt;4,'Group Weight Statement'!$B$37,0)</f>
        <v>0</v>
      </c>
      <c r="C41" s="28"/>
    </row>
    <row r="42" spans="1:3" x14ac:dyDescent="0.25">
      <c r="A42" s="7" t="s">
        <v>193</v>
      </c>
      <c r="B42" s="16">
        <f>IF('Designer Inputs'!$C$88&gt;5,'Group Weight Statement'!$B$37,0)</f>
        <v>0</v>
      </c>
      <c r="C42" s="28"/>
    </row>
    <row r="43" spans="1:3" x14ac:dyDescent="0.25">
      <c r="A43" s="7"/>
      <c r="B43" s="16"/>
      <c r="C43" s="28"/>
    </row>
    <row r="44" spans="1:3" x14ac:dyDescent="0.25">
      <c r="A44" s="10" t="s">
        <v>18</v>
      </c>
      <c r="B44" s="28">
        <f>$B$9/3</f>
        <v>74.006666666666675</v>
      </c>
      <c r="C44" s="28">
        <v>24</v>
      </c>
    </row>
    <row r="45" spans="1:3" x14ac:dyDescent="0.25">
      <c r="A45" s="10" t="s">
        <v>19</v>
      </c>
      <c r="B45" s="28">
        <f>$B$9/3</f>
        <v>74.006666666666675</v>
      </c>
      <c r="C45" s="28">
        <v>27</v>
      </c>
    </row>
    <row r="46" spans="1:3" x14ac:dyDescent="0.25">
      <c r="A46" s="10" t="s">
        <v>20</v>
      </c>
      <c r="B46" s="28">
        <f>$B$9/3</f>
        <v>74.006666666666675</v>
      </c>
      <c r="C46" s="28">
        <v>30</v>
      </c>
    </row>
    <row r="47" spans="1:3" x14ac:dyDescent="0.25">
      <c r="A47" s="10" t="s">
        <v>21</v>
      </c>
      <c r="B47" s="28"/>
      <c r="C47" s="28"/>
    </row>
    <row r="48" spans="1:3" x14ac:dyDescent="0.25">
      <c r="A48" s="10" t="s">
        <v>22</v>
      </c>
      <c r="B48" s="28"/>
      <c r="C48" s="28"/>
    </row>
    <row r="49" spans="1:3" x14ac:dyDescent="0.25">
      <c r="A49" s="10" t="s">
        <v>23</v>
      </c>
      <c r="B49" s="28"/>
      <c r="C49" s="28"/>
    </row>
    <row r="50" spans="1:3" x14ac:dyDescent="0.25">
      <c r="A50" s="11" t="s">
        <v>12</v>
      </c>
      <c r="B50" s="34"/>
      <c r="C50" s="34"/>
    </row>
    <row r="51" spans="1:3" x14ac:dyDescent="0.25">
      <c r="A51" s="10" t="s">
        <v>14</v>
      </c>
      <c r="B51" s="28">
        <v>300</v>
      </c>
      <c r="C51" s="28">
        <v>6</v>
      </c>
    </row>
    <row r="52" spans="1:3" x14ac:dyDescent="0.25">
      <c r="A52" s="10" t="s">
        <v>15</v>
      </c>
      <c r="B52" s="28"/>
      <c r="C52" s="28"/>
    </row>
    <row r="53" spans="1:3" x14ac:dyDescent="0.25">
      <c r="A53" s="10" t="s">
        <v>16</v>
      </c>
      <c r="B53" s="28"/>
      <c r="C53" s="28"/>
    </row>
    <row r="54" spans="1:3" x14ac:dyDescent="0.25">
      <c r="A54" s="10" t="s">
        <v>17</v>
      </c>
      <c r="B54" s="28"/>
      <c r="C54" s="28"/>
    </row>
    <row r="55" spans="1:3" x14ac:dyDescent="0.25">
      <c r="A55" s="10" t="s">
        <v>197</v>
      </c>
      <c r="B55" s="28"/>
      <c r="C55" s="28"/>
    </row>
    <row r="56" spans="1:3" x14ac:dyDescent="0.25">
      <c r="A56" s="10" t="s">
        <v>198</v>
      </c>
      <c r="B56" s="28"/>
      <c r="C56" s="28"/>
    </row>
    <row r="57" spans="1:3" x14ac:dyDescent="0.25">
      <c r="A57" s="10" t="s">
        <v>199</v>
      </c>
      <c r="B57" s="28"/>
      <c r="C57" s="28"/>
    </row>
    <row r="58" spans="1:3" x14ac:dyDescent="0.25">
      <c r="A58" s="4"/>
      <c r="B58" s="16"/>
      <c r="C58" s="16"/>
    </row>
    <row r="59" spans="1:3" x14ac:dyDescent="0.25">
      <c r="A59" s="12" t="s">
        <v>11</v>
      </c>
      <c r="B59" s="35"/>
      <c r="C59" s="35"/>
    </row>
    <row r="60" spans="1:3" x14ac:dyDescent="0.25">
      <c r="A60" s="13" t="s">
        <v>159</v>
      </c>
      <c r="B60" s="16" cm="1">
        <f t="array" ref="B60">IF('Designer Inputs'!$C$91="Retractable",_xlfn.IFS($A$4="Fighter",0.033*$B$8,$A$4="Bomber/Large Jet Transport",0.043*$B$8,$A$4="General Aviation/Prop Transport",0.057*$B$8),_xlfn.IFS($A$4="Fighter",0.86*0.033*$B$8,$A$4="Bomber/Large Jet Transport",0.86*0.043*$B$8,$A$4="General Aviation/Prop Transport",0.86*0.057*$B$8))</f>
        <v>128.5118124</v>
      </c>
      <c r="C60" s="28">
        <v>27.376298721214589</v>
      </c>
    </row>
    <row r="61" spans="1:3" x14ac:dyDescent="0.25">
      <c r="A61" s="7" t="s">
        <v>13</v>
      </c>
      <c r="B61" s="16" cm="1">
        <f t="array" ref="B61">_xlfn.IFS($A$4="Fighter",0.17*$B$8,$A$4="Bomber/Large Jet Transport",0.17*$B$8,$A$4="General Aviation/Prop Transport",0.1*$B$8)</f>
        <v>262.16199999999998</v>
      </c>
      <c r="C61" s="28">
        <v>23.25</v>
      </c>
    </row>
    <row r="62" spans="1:3" x14ac:dyDescent="0.25">
      <c r="A62" s="4"/>
      <c r="B62" s="16"/>
      <c r="C62" s="16"/>
    </row>
    <row r="63" spans="1:3" x14ac:dyDescent="0.25">
      <c r="A63" s="42" t="s">
        <v>202</v>
      </c>
      <c r="B63" s="43"/>
      <c r="C63" s="44"/>
    </row>
    <row r="64" spans="1:3" x14ac:dyDescent="0.25">
      <c r="A64" s="7" t="s">
        <v>194</v>
      </c>
      <c r="B64" s="49">
        <f>SUM(B17:B20,B22,B25,B28,B31,B34,B35,B37:B42,B60:B61)</f>
        <v>1655.6055795364041</v>
      </c>
      <c r="C64" s="50"/>
    </row>
    <row r="65" spans="1:4" x14ac:dyDescent="0.25">
      <c r="A65" s="10" t="s">
        <v>195</v>
      </c>
      <c r="B65" s="51">
        <f>B64-B10</f>
        <v>-23.994420463595816</v>
      </c>
      <c r="C65" s="52"/>
    </row>
    <row r="66" spans="1:4" x14ac:dyDescent="0.25">
      <c r="A66" s="45" t="s">
        <v>234</v>
      </c>
      <c r="B66" s="46"/>
      <c r="C66" s="46"/>
      <c r="D66" s="46"/>
    </row>
    <row r="67" spans="1:4" x14ac:dyDescent="0.25">
      <c r="A67" s="22" t="s">
        <v>219</v>
      </c>
      <c r="B67" s="23" t="s">
        <v>211</v>
      </c>
      <c r="C67" s="23" t="s">
        <v>218</v>
      </c>
      <c r="D67" s="24" t="s">
        <v>215</v>
      </c>
    </row>
    <row r="68" spans="1:4" x14ac:dyDescent="0.25">
      <c r="A68" s="25" t="s">
        <v>220</v>
      </c>
      <c r="B68" s="28">
        <f>($B$17*$C$17+$B$18*$C$18+$B$19*$C$19+$B$20*$C$20+$B$22*$C$22+$B$34*$C$34+$B$35*$C$35+$B$44*$C$44+$B$45*$C$45+$B$46*$C$46+$B$51*$C$51+$B$60*$C$60+$B$61*$C$61)/$B$8</f>
        <v>13.795765121908598</v>
      </c>
      <c r="C68" s="28">
        <f>B8</f>
        <v>2621.62</v>
      </c>
      <c r="D68" s="21">
        <f>($B$76/$B$77)-(B68/$B$77)</f>
        <v>1.1911705776062684</v>
      </c>
    </row>
    <row r="69" spans="1:4" x14ac:dyDescent="0.25">
      <c r="A69" s="36" t="s">
        <v>221</v>
      </c>
      <c r="B69" s="28">
        <f>($B$17*$C$17+$B$18*$C$18+$B$19*$C$19+$B$20*$C$20+$B$22*$C$22+$B$34*$C$34+$B$35*$C$35+$B$45*$C$45+$B$46*$C$46+$B$51*$C$51+$B$60*$C$60+$B$61*$C$61)/($B$8-$B$44)</f>
        <v>13.4993381094847</v>
      </c>
      <c r="C69" s="28">
        <f>($B$8-$B$44)</f>
        <v>2547.6133333333332</v>
      </c>
      <c r="D69" s="21">
        <f t="shared" ref="D69:D74" si="0">($B$76-B69)/$B$77</f>
        <v>1.2171253732100777</v>
      </c>
    </row>
    <row r="70" spans="1:4" x14ac:dyDescent="0.25">
      <c r="A70" s="36" t="s">
        <v>222</v>
      </c>
      <c r="B70" s="28">
        <f>($B$17*$C$17+$B$18*$C$18+$B$19*$C$19+$B$20*$C$20+$B$22*$C$22+$B$34*$C$34+$B$35*$C$35+$B$46*$C$46+$B$51*$C$51+$B$60*$C$60+$B$61*$C$61)/($B$8-$B$44-$B$45)</f>
        <v>13.095418198621452</v>
      </c>
      <c r="C70" s="28">
        <f>($B$8-$B$44-$B$45)</f>
        <v>2473.6066666666666</v>
      </c>
      <c r="D70" s="21">
        <f t="shared" si="0"/>
        <v>1.2524921187743199</v>
      </c>
    </row>
    <row r="71" spans="1:4" x14ac:dyDescent="0.25">
      <c r="A71" s="36" t="s">
        <v>223</v>
      </c>
      <c r="B71" s="28">
        <f>($B$17*$C$17+$B$18*$C$18+$B$19*$C$19+$B$20*$C$20+$B$22*$C$22+$B$34*$C$34+$B$35*$C$35+$B$51*$C$51+$B$60*$C$60+$B$61*$C$61)/($B$8-$B$44-$B$45-$B$46)</f>
        <v>12.574059742831313</v>
      </c>
      <c r="C71" s="28">
        <f>($B$8-$B$44-$B$45-$B$46)</f>
        <v>2399.6</v>
      </c>
      <c r="D71" s="21">
        <f t="shared" si="0"/>
        <v>1.2981416432414083</v>
      </c>
    </row>
    <row r="72" spans="1:4" x14ac:dyDescent="0.25">
      <c r="A72" s="36" t="s">
        <v>224</v>
      </c>
      <c r="B72" s="28">
        <f>($B$17*$C$17+$B$18*$C$18+$B$19*$C$19+$B$20*$C$20+$B$22*$C$22+$B$34*$C$34+$B$35*$C$35+$B$51*$C$51+$B$60*$C$60+$B$61*$C$61)/($B$8-$B$44-$B$45-$B$46)</f>
        <v>12.574059742831313</v>
      </c>
      <c r="C72" s="28">
        <f>($B$8-$B$44-$B$45-$B$46)</f>
        <v>2399.6</v>
      </c>
      <c r="D72" s="21">
        <f t="shared" si="0"/>
        <v>1.2981416432414083</v>
      </c>
    </row>
    <row r="73" spans="1:4" x14ac:dyDescent="0.25">
      <c r="A73" s="36" t="s">
        <v>225</v>
      </c>
      <c r="B73" s="28">
        <f>($B$17*$C$17+$B$18*$C$18+$B$19*$C$19+$B$20*$C$20+$B$22*$C$22+$B$34*$C$34+$B$35*$C$35+$B$51*$C$51+$B$60*$C$60+$B$61*$C$61)/($B$8-$B$44-$B$45-$B$46)</f>
        <v>12.574059742831313</v>
      </c>
      <c r="C73" s="28">
        <f>($B$8-$B$44-$B$45-$B$46)</f>
        <v>2399.6</v>
      </c>
      <c r="D73" s="21">
        <f t="shared" si="0"/>
        <v>1.2981416432414083</v>
      </c>
    </row>
    <row r="74" spans="1:4" x14ac:dyDescent="0.25">
      <c r="A74" s="36" t="s">
        <v>226</v>
      </c>
      <c r="B74" s="28">
        <f>($B$17*$C$17+$B$18*$C$18+$B$19*$C$19+$B$20*$C$20+$B$22*$C$22+$B$34*$C$34+$B$35*$C$35+$B$51*$C$51+$B$60*$C$60+$B$61*$C$61)/($B$8-$B$44-$B$45-$B$46)</f>
        <v>12.574059742831313</v>
      </c>
      <c r="C74" s="28">
        <f>($B$8-$B$44-$B$45-$B$46)</f>
        <v>2399.6</v>
      </c>
      <c r="D74" s="21">
        <f t="shared" si="0"/>
        <v>1.2981416432414083</v>
      </c>
    </row>
    <row r="75" spans="1:4" x14ac:dyDescent="0.25">
      <c r="A75" s="25" t="s">
        <v>227</v>
      </c>
      <c r="B75" s="28">
        <f>($B$17*$C$17+$B$18*$C$18+$B$19*$C$19+$B$20*$C$20+$B$22*$C$22+$B$34*$C$34+$B$35*$C$35+$B$60*$C$60+$B$61*$C$61)/($B$8-$B$44-$B$45-$B$46-$B$51)</f>
        <v>13.513390054723766</v>
      </c>
      <c r="C75" s="28">
        <f>($B$8-$B$44-$B$45-$B$46-$B$51)</f>
        <v>2099.6</v>
      </c>
      <c r="D75" s="21">
        <f>($B$76-B75)/$B$77</f>
        <v>1.2158950016473324</v>
      </c>
    </row>
    <row r="76" spans="1:4" x14ac:dyDescent="0.25">
      <c r="A76" s="25" t="s">
        <v>200</v>
      </c>
      <c r="B76" s="47">
        <v>27.4</v>
      </c>
      <c r="C76" s="47"/>
      <c r="D76" s="47"/>
    </row>
    <row r="77" spans="1:4" x14ac:dyDescent="0.25">
      <c r="A77" s="25" t="s">
        <v>214</v>
      </c>
      <c r="B77" s="47">
        <v>11.420895658311137</v>
      </c>
      <c r="C77" s="47"/>
      <c r="D77" s="47"/>
    </row>
    <row r="78" spans="1:4" x14ac:dyDescent="0.25">
      <c r="A78" s="25" t="s">
        <v>212</v>
      </c>
      <c r="B78" s="48">
        <v>0.05</v>
      </c>
      <c r="C78" s="48"/>
      <c r="D78" s="48"/>
    </row>
    <row r="79" spans="1:4" x14ac:dyDescent="0.25">
      <c r="A79" s="25" t="s">
        <v>213</v>
      </c>
      <c r="B79" s="48">
        <v>0.25</v>
      </c>
      <c r="C79" s="48"/>
      <c r="D79" s="48"/>
    </row>
    <row r="80" spans="1:4" x14ac:dyDescent="0.25">
      <c r="A80" s="25" t="s">
        <v>216</v>
      </c>
      <c r="B80" s="41">
        <f>($B$76/$B$77-B78)*$B$77</f>
        <v>26.828955217084445</v>
      </c>
      <c r="C80" s="41"/>
      <c r="D80" s="41"/>
    </row>
    <row r="81" spans="1:6" x14ac:dyDescent="0.25">
      <c r="A81" s="25" t="s">
        <v>217</v>
      </c>
      <c r="B81" s="41">
        <f>($B$76/$B$77-B79)*$B$77</f>
        <v>24.544776085422214</v>
      </c>
      <c r="C81" s="41"/>
      <c r="D81" s="41"/>
    </row>
    <row r="84" spans="1:6" x14ac:dyDescent="0.25">
      <c r="A84" t="s">
        <v>228</v>
      </c>
      <c r="B84" s="30" t="s">
        <v>210</v>
      </c>
      <c r="C84" s="30" t="s">
        <v>229</v>
      </c>
      <c r="D84" t="s">
        <v>230</v>
      </c>
      <c r="E84" t="s">
        <v>231</v>
      </c>
      <c r="F84" t="s">
        <v>232</v>
      </c>
    </row>
    <row r="85" spans="1:6" x14ac:dyDescent="0.25">
      <c r="A85">
        <f>C68</f>
        <v>2621.62</v>
      </c>
      <c r="B85" s="30">
        <f>B68</f>
        <v>13.795765121908598</v>
      </c>
      <c r="C85" s="30">
        <f>$B$80</f>
        <v>26.828955217084445</v>
      </c>
      <c r="D85">
        <f>$B$81</f>
        <v>24.544776085422214</v>
      </c>
      <c r="E85" s="26">
        <f>$B$78</f>
        <v>0.05</v>
      </c>
      <c r="F85" s="27">
        <f>$B$79</f>
        <v>0.25</v>
      </c>
    </row>
    <row r="86" spans="1:6" x14ac:dyDescent="0.25">
      <c r="A86">
        <f t="shared" ref="A86:A92" si="1">C69</f>
        <v>2547.6133333333332</v>
      </c>
      <c r="B86" s="30">
        <f t="shared" ref="B86:B92" si="2">B69</f>
        <v>13.4993381094847</v>
      </c>
      <c r="C86" s="30">
        <f t="shared" ref="C86:C92" si="3">$B$80</f>
        <v>26.828955217084445</v>
      </c>
      <c r="D86">
        <f t="shared" ref="D86:D92" si="4">$B$81</f>
        <v>24.544776085422214</v>
      </c>
      <c r="E86" s="26">
        <f t="shared" ref="E86:E92" si="5">$B$78</f>
        <v>0.05</v>
      </c>
      <c r="F86" s="27">
        <f t="shared" ref="F86:F92" si="6">$B$79</f>
        <v>0.25</v>
      </c>
    </row>
    <row r="87" spans="1:6" x14ac:dyDescent="0.25">
      <c r="A87">
        <f t="shared" si="1"/>
        <v>2473.6066666666666</v>
      </c>
      <c r="B87" s="30">
        <f t="shared" si="2"/>
        <v>13.095418198621452</v>
      </c>
      <c r="C87" s="30">
        <f t="shared" si="3"/>
        <v>26.828955217084445</v>
      </c>
      <c r="D87">
        <f t="shared" si="4"/>
        <v>24.544776085422214</v>
      </c>
      <c r="E87" s="26">
        <f t="shared" si="5"/>
        <v>0.05</v>
      </c>
      <c r="F87" s="27">
        <f t="shared" si="6"/>
        <v>0.25</v>
      </c>
    </row>
    <row r="88" spans="1:6" x14ac:dyDescent="0.25">
      <c r="A88">
        <f t="shared" si="1"/>
        <v>2399.6</v>
      </c>
      <c r="B88" s="30">
        <f t="shared" si="2"/>
        <v>12.574059742831313</v>
      </c>
      <c r="C88" s="30">
        <f t="shared" si="3"/>
        <v>26.828955217084445</v>
      </c>
      <c r="D88">
        <f t="shared" si="4"/>
        <v>24.544776085422214</v>
      </c>
      <c r="E88" s="26">
        <f t="shared" si="5"/>
        <v>0.05</v>
      </c>
      <c r="F88" s="27">
        <f t="shared" si="6"/>
        <v>0.25</v>
      </c>
    </row>
    <row r="89" spans="1:6" x14ac:dyDescent="0.25">
      <c r="A89">
        <f t="shared" si="1"/>
        <v>2399.6</v>
      </c>
      <c r="B89" s="30">
        <f t="shared" si="2"/>
        <v>12.574059742831313</v>
      </c>
      <c r="C89" s="30">
        <f t="shared" si="3"/>
        <v>26.828955217084445</v>
      </c>
      <c r="D89">
        <f t="shared" si="4"/>
        <v>24.544776085422214</v>
      </c>
      <c r="E89" s="26">
        <f t="shared" si="5"/>
        <v>0.05</v>
      </c>
      <c r="F89" s="27">
        <f t="shared" si="6"/>
        <v>0.25</v>
      </c>
    </row>
    <row r="90" spans="1:6" x14ac:dyDescent="0.25">
      <c r="A90">
        <f t="shared" si="1"/>
        <v>2399.6</v>
      </c>
      <c r="B90" s="30">
        <f t="shared" si="2"/>
        <v>12.574059742831313</v>
      </c>
      <c r="C90" s="30">
        <f t="shared" si="3"/>
        <v>26.828955217084445</v>
      </c>
      <c r="D90">
        <f t="shared" si="4"/>
        <v>24.544776085422214</v>
      </c>
      <c r="E90" s="26">
        <f t="shared" si="5"/>
        <v>0.05</v>
      </c>
      <c r="F90" s="27">
        <f t="shared" si="6"/>
        <v>0.25</v>
      </c>
    </row>
    <row r="91" spans="1:6" x14ac:dyDescent="0.25">
      <c r="A91">
        <f t="shared" si="1"/>
        <v>2399.6</v>
      </c>
      <c r="B91" s="30">
        <f t="shared" si="2"/>
        <v>12.574059742831313</v>
      </c>
      <c r="C91" s="30">
        <f t="shared" si="3"/>
        <v>26.828955217084445</v>
      </c>
      <c r="D91">
        <f t="shared" si="4"/>
        <v>24.544776085422214</v>
      </c>
      <c r="E91" s="26">
        <f t="shared" si="5"/>
        <v>0.05</v>
      </c>
      <c r="F91" s="27">
        <f t="shared" si="6"/>
        <v>0.25</v>
      </c>
    </row>
    <row r="92" spans="1:6" x14ac:dyDescent="0.25">
      <c r="A92">
        <f t="shared" si="1"/>
        <v>2099.6</v>
      </c>
      <c r="B92" s="30">
        <f t="shared" si="2"/>
        <v>13.513390054723766</v>
      </c>
      <c r="C92" s="30">
        <f t="shared" si="3"/>
        <v>26.828955217084445</v>
      </c>
      <c r="D92">
        <f t="shared" si="4"/>
        <v>24.544776085422214</v>
      </c>
      <c r="E92" s="26">
        <f t="shared" si="5"/>
        <v>0.05</v>
      </c>
      <c r="F92" s="27">
        <f t="shared" si="6"/>
        <v>0.25</v>
      </c>
    </row>
  </sheetData>
  <mergeCells count="17">
    <mergeCell ref="A7:C7"/>
    <mergeCell ref="A2:D2"/>
    <mergeCell ref="A1:D1"/>
    <mergeCell ref="B79:D79"/>
    <mergeCell ref="B80:D80"/>
    <mergeCell ref="B14:B15"/>
    <mergeCell ref="C14:C15"/>
    <mergeCell ref="A4:C4"/>
    <mergeCell ref="A6:C6"/>
    <mergeCell ref="B81:D81"/>
    <mergeCell ref="A63:C63"/>
    <mergeCell ref="A66:D66"/>
    <mergeCell ref="B76:D76"/>
    <mergeCell ref="B77:D77"/>
    <mergeCell ref="B78:D78"/>
    <mergeCell ref="B64:C64"/>
    <mergeCell ref="B65:C65"/>
  </mergeCells>
  <phoneticPr fontId="5" type="noConversion"/>
  <dataValidations count="1">
    <dataValidation type="list" allowBlank="1" showInputMessage="1" showErrorMessage="1" sqref="A4" xr:uid="{1A85A819-C034-409F-9F68-7455700ABBDF}">
      <formula1>CATAGORY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02C1-FCE9-451E-95DC-D29C4A9254E2}">
  <dimension ref="A1:A55"/>
  <sheetViews>
    <sheetView topLeftCell="A2" workbookViewId="0">
      <selection activeCell="E23" sqref="E23"/>
    </sheetView>
  </sheetViews>
  <sheetFormatPr defaultColWidth="8.85546875" defaultRowHeight="15" x14ac:dyDescent="0.25"/>
  <cols>
    <col min="1" max="1" width="31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158</v>
      </c>
    </row>
    <row r="6" spans="1:1" x14ac:dyDescent="0.25">
      <c r="A6" t="s">
        <v>128</v>
      </c>
    </row>
    <row r="7" spans="1:1" x14ac:dyDescent="0.25">
      <c r="A7" t="s">
        <v>30</v>
      </c>
    </row>
    <row r="8" spans="1:1" x14ac:dyDescent="0.25">
      <c r="A8">
        <v>1</v>
      </c>
    </row>
    <row r="9" spans="1:1" x14ac:dyDescent="0.25">
      <c r="A9">
        <v>0.76800000000000002</v>
      </c>
    </row>
    <row r="11" spans="1:1" x14ac:dyDescent="0.25">
      <c r="A11" t="s">
        <v>31</v>
      </c>
    </row>
    <row r="12" spans="1:1" x14ac:dyDescent="0.25">
      <c r="A12">
        <v>1</v>
      </c>
    </row>
    <row r="13" spans="1:1" x14ac:dyDescent="0.25">
      <c r="A13">
        <v>1.19</v>
      </c>
    </row>
    <row r="15" spans="1:1" x14ac:dyDescent="0.25">
      <c r="A15" t="s">
        <v>35</v>
      </c>
    </row>
    <row r="16" spans="1:1" x14ac:dyDescent="0.25">
      <c r="A16">
        <v>1</v>
      </c>
    </row>
    <row r="17" spans="1:1" x14ac:dyDescent="0.25">
      <c r="A17">
        <v>1.143</v>
      </c>
    </row>
    <row r="19" spans="1:1" x14ac:dyDescent="0.25">
      <c r="A19" t="s">
        <v>117</v>
      </c>
    </row>
    <row r="20" spans="1:1" x14ac:dyDescent="0.25">
      <c r="A20">
        <v>0</v>
      </c>
    </row>
    <row r="21" spans="1:1" x14ac:dyDescent="0.25">
      <c r="A21">
        <v>1</v>
      </c>
    </row>
    <row r="23" spans="1:1" x14ac:dyDescent="0.25">
      <c r="A23" t="s">
        <v>56</v>
      </c>
    </row>
    <row r="24" spans="1:1" x14ac:dyDescent="0.25">
      <c r="A24">
        <v>1</v>
      </c>
    </row>
    <row r="25" spans="1:1" x14ac:dyDescent="0.25">
      <c r="A25">
        <v>1.0469999999999999</v>
      </c>
    </row>
    <row r="27" spans="1:1" x14ac:dyDescent="0.25">
      <c r="A27" t="s">
        <v>61</v>
      </c>
    </row>
    <row r="28" spans="1:1" x14ac:dyDescent="0.25">
      <c r="A28">
        <v>1</v>
      </c>
    </row>
    <row r="29" spans="1:1" x14ac:dyDescent="0.25">
      <c r="A29">
        <v>1.06</v>
      </c>
    </row>
    <row r="30" spans="1:1" x14ac:dyDescent="0.25">
      <c r="A30">
        <v>1.1200000000000001</v>
      </c>
    </row>
    <row r="31" spans="1:1" x14ac:dyDescent="0.25">
      <c r="A31">
        <v>1.25</v>
      </c>
    </row>
    <row r="33" spans="1:1" x14ac:dyDescent="0.25">
      <c r="A33" t="s">
        <v>62</v>
      </c>
    </row>
    <row r="34" spans="1:1" x14ac:dyDescent="0.25">
      <c r="A34">
        <v>1</v>
      </c>
    </row>
    <row r="35" spans="1:1" x14ac:dyDescent="0.25">
      <c r="A35">
        <v>1.1200000000000001</v>
      </c>
    </row>
    <row r="37" spans="1:1" x14ac:dyDescent="0.25">
      <c r="A37" t="s">
        <v>67</v>
      </c>
    </row>
    <row r="38" spans="1:1" x14ac:dyDescent="0.25">
      <c r="A38">
        <v>1</v>
      </c>
    </row>
    <row r="39" spans="1:1" x14ac:dyDescent="0.25">
      <c r="A39">
        <v>0.77400000000000002</v>
      </c>
    </row>
    <row r="41" spans="1:1" x14ac:dyDescent="0.25">
      <c r="A41" t="s">
        <v>72</v>
      </c>
    </row>
    <row r="42" spans="1:1" x14ac:dyDescent="0.25">
      <c r="A42">
        <v>1</v>
      </c>
    </row>
    <row r="43" spans="1:1" x14ac:dyDescent="0.25">
      <c r="A43">
        <v>1.0169999999999999</v>
      </c>
    </row>
    <row r="45" spans="1:1" x14ac:dyDescent="0.25">
      <c r="A45" t="s">
        <v>76</v>
      </c>
    </row>
    <row r="46" spans="1:1" x14ac:dyDescent="0.25">
      <c r="A46">
        <v>1</v>
      </c>
    </row>
    <row r="47" spans="1:1" x14ac:dyDescent="0.25">
      <c r="A47">
        <v>1.62</v>
      </c>
    </row>
    <row r="49" spans="1:1" x14ac:dyDescent="0.25">
      <c r="A49" t="s">
        <v>186</v>
      </c>
    </row>
    <row r="50" spans="1:1" x14ac:dyDescent="0.25">
      <c r="A50">
        <v>1</v>
      </c>
    </row>
    <row r="51" spans="1:1" x14ac:dyDescent="0.25">
      <c r="A51">
        <v>1.18</v>
      </c>
    </row>
    <row r="53" spans="1:1" x14ac:dyDescent="0.25">
      <c r="A53" t="s">
        <v>161</v>
      </c>
    </row>
    <row r="54" spans="1:1" x14ac:dyDescent="0.25">
      <c r="A54" s="1" t="s">
        <v>162</v>
      </c>
    </row>
    <row r="55" spans="1:1" x14ac:dyDescent="0.25">
      <c r="A55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Designer Inputs</vt:lpstr>
      <vt:lpstr>Group Weight Statement</vt:lpstr>
      <vt:lpstr>LISTS</vt:lpstr>
      <vt:lpstr>CATAGORY</vt:lpstr>
      <vt:lpstr>Ht_Hv</vt:lpstr>
      <vt:lpstr>K_door</vt:lpstr>
      <vt:lpstr>K_dw</vt:lpstr>
      <vt:lpstr>K_dwf</vt:lpstr>
      <vt:lpstr>K_Lg</vt:lpstr>
      <vt:lpstr>K_ng</vt:lpstr>
      <vt:lpstr>K_rht</vt:lpstr>
      <vt:lpstr>K_tr</vt:lpstr>
      <vt:lpstr>K_uht</vt:lpstr>
      <vt:lpstr>K_vg</vt:lpstr>
      <vt:lpstr>K_vs</vt:lpstr>
      <vt:lpstr>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Nathan Evans</cp:lastModifiedBy>
  <dcterms:created xsi:type="dcterms:W3CDTF">2023-10-31T18:31:06Z</dcterms:created>
  <dcterms:modified xsi:type="dcterms:W3CDTF">2026-03-28T22:42:22Z</dcterms:modified>
</cp:coreProperties>
</file>